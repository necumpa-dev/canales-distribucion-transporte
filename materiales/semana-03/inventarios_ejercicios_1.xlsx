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nelsoncumpa/Desktop/DOSCENCIA/03 DIPLOMADO/20251006 transporte y distribución /Sesión 06/"/>
    </mc:Choice>
  </mc:AlternateContent>
  <xr:revisionPtr revIDLastSave="0" documentId="13_ncr:1_{C60FBBAD-6E8A-6645-BFBE-2B93612C9C1A}" xr6:coauthVersionLast="46" xr6:coauthVersionMax="46" xr10:uidLastSave="{00000000-0000-0000-0000-000000000000}"/>
  <bookViews>
    <workbookView xWindow="0" yWindow="500" windowWidth="28800" windowHeight="17500" xr2:uid="{0D43BC8E-2B07-4743-B39B-55EFAD750063}"/>
  </bookViews>
  <sheets>
    <sheet name="1" sheetId="4" r:id="rId1"/>
    <sheet name="2" sheetId="5" r:id="rId2"/>
    <sheet name="3" sheetId="6" r:id="rId3"/>
    <sheet name="4" sheetId="7" r:id="rId4"/>
    <sheet name="5" sheetId="8" r:id="rId5"/>
    <sheet name="6" sheetId="9" r:id="rId6"/>
    <sheet name="7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4" l="1"/>
  <c r="N23" i="4"/>
  <c r="N16" i="4"/>
  <c r="N9" i="4"/>
  <c r="I21" i="10"/>
  <c r="D21" i="10"/>
  <c r="I20" i="10"/>
  <c r="D20" i="10"/>
  <c r="I19" i="10"/>
  <c r="D19" i="10"/>
  <c r="I17" i="10"/>
  <c r="D17" i="10"/>
  <c r="I15" i="10"/>
  <c r="I12" i="10"/>
  <c r="D11" i="10"/>
  <c r="H20" i="9"/>
  <c r="H17" i="9"/>
  <c r="H14" i="9"/>
  <c r="H9" i="9"/>
  <c r="H13" i="9" s="1"/>
  <c r="H7" i="9"/>
  <c r="I14" i="8"/>
  <c r="J14" i="8"/>
  <c r="H14" i="8"/>
  <c r="I13" i="8"/>
  <c r="J13" i="8"/>
  <c r="H13" i="8"/>
  <c r="I12" i="8"/>
  <c r="J12" i="8"/>
  <c r="H12" i="8"/>
  <c r="I11" i="8"/>
  <c r="J11" i="8"/>
  <c r="H11" i="8"/>
  <c r="J8" i="8"/>
  <c r="I8" i="8"/>
  <c r="H8" i="8"/>
  <c r="I6" i="8"/>
  <c r="J6" i="8"/>
  <c r="H6" i="8"/>
  <c r="I15" i="7"/>
  <c r="J15" i="7"/>
  <c r="H15" i="7"/>
  <c r="I14" i="7"/>
  <c r="J14" i="7"/>
  <c r="H14" i="7"/>
  <c r="I12" i="7"/>
  <c r="J12" i="7"/>
  <c r="I13" i="7"/>
  <c r="J13" i="7"/>
  <c r="H12" i="7"/>
  <c r="H13" i="7"/>
  <c r="I9" i="7"/>
  <c r="J9" i="7"/>
  <c r="H9" i="7"/>
  <c r="J6" i="7"/>
  <c r="I6" i="7"/>
  <c r="I7" i="7"/>
  <c r="J7" i="7"/>
  <c r="H7" i="7"/>
  <c r="I6" i="6"/>
  <c r="I24" i="6"/>
  <c r="I23" i="6"/>
  <c r="I22" i="6"/>
  <c r="I14" i="6"/>
  <c r="I16" i="6" s="1"/>
  <c r="I7" i="6"/>
  <c r="I10" i="6"/>
  <c r="I12" i="6" s="1"/>
  <c r="J17" i="5"/>
  <c r="J14" i="5"/>
  <c r="J11" i="5"/>
  <c r="J10" i="5"/>
  <c r="J9" i="5"/>
  <c r="J7" i="5"/>
  <c r="J32" i="4"/>
  <c r="J30" i="4"/>
  <c r="J27" i="4"/>
  <c r="J28" i="4"/>
  <c r="J24" i="4"/>
  <c r="J26" i="4" s="1"/>
  <c r="J20" i="4"/>
  <c r="J19" i="4"/>
  <c r="J18" i="4"/>
  <c r="J13" i="4"/>
  <c r="J12" i="4"/>
  <c r="J11" i="4"/>
  <c r="J6" i="4"/>
  <c r="J5" i="4"/>
  <c r="J2" i="4"/>
  <c r="L32" i="4"/>
  <c r="L8" i="8"/>
  <c r="L14" i="7"/>
  <c r="K23" i="6"/>
  <c r="L17" i="5"/>
  <c r="J20" i="9"/>
  <c r="L7" i="5"/>
  <c r="K12" i="6"/>
  <c r="L9" i="5"/>
  <c r="J17" i="9"/>
  <c r="L27" i="4"/>
  <c r="L19" i="4"/>
  <c r="L6" i="4"/>
  <c r="L13" i="7"/>
  <c r="L20" i="4"/>
  <c r="J9" i="9"/>
  <c r="L5" i="4"/>
  <c r="L26" i="4"/>
  <c r="L15" i="7"/>
  <c r="L14" i="5"/>
  <c r="K10" i="6"/>
  <c r="L11" i="4"/>
  <c r="L9" i="7"/>
  <c r="L30" i="4"/>
  <c r="J12" i="9"/>
  <c r="L12" i="7"/>
  <c r="L13" i="8"/>
  <c r="L2" i="4"/>
  <c r="L18" i="4"/>
  <c r="L11" i="5"/>
  <c r="L28" i="4"/>
  <c r="L12" i="4"/>
  <c r="J7" i="9"/>
  <c r="K22" i="6"/>
  <c r="L14" i="8"/>
  <c r="L11" i="8"/>
  <c r="J13" i="9"/>
  <c r="K14" i="6"/>
  <c r="J14" i="9"/>
  <c r="L13" i="4"/>
  <c r="L6" i="8"/>
  <c r="L12" i="8"/>
  <c r="K7" i="6"/>
  <c r="L24" i="4"/>
  <c r="L10" i="5"/>
  <c r="K16" i="6"/>
  <c r="K24" i="6"/>
  <c r="H12" i="9" l="1"/>
</calcChain>
</file>

<file path=xl/sharedStrings.xml><?xml version="1.0" encoding="utf-8"?>
<sst xmlns="http://schemas.openxmlformats.org/spreadsheetml/2006/main" count="300" uniqueCount="87">
  <si>
    <t>Demanda anual</t>
  </si>
  <si>
    <t>D</t>
  </si>
  <si>
    <t>u/año</t>
  </si>
  <si>
    <t>Costo unitario</t>
  </si>
  <si>
    <t>C</t>
  </si>
  <si>
    <t>$/u</t>
  </si>
  <si>
    <t>Costo por pedido</t>
  </si>
  <si>
    <t>S</t>
  </si>
  <si>
    <t>$/pedido</t>
  </si>
  <si>
    <t>Costo de mantenimiento</t>
  </si>
  <si>
    <t>H</t>
  </si>
  <si>
    <t>$/u.año</t>
  </si>
  <si>
    <t>Días disponibles</t>
  </si>
  <si>
    <t>días/año</t>
  </si>
  <si>
    <t>a)</t>
  </si>
  <si>
    <t>Lote de compra</t>
  </si>
  <si>
    <t>Q</t>
  </si>
  <si>
    <t>u/lote</t>
  </si>
  <si>
    <t>CM</t>
  </si>
  <si>
    <t>CR</t>
  </si>
  <si>
    <t>CT</t>
  </si>
  <si>
    <t>Costo total</t>
  </si>
  <si>
    <t>Costo anual de mantenimiento</t>
  </si>
  <si>
    <t>Costo anual de reposición</t>
  </si>
  <si>
    <t>$/año</t>
  </si>
  <si>
    <t>No es mejor comprar en lote de 468 u porque el costo aumenta 567 $/año.</t>
  </si>
  <si>
    <t>b)</t>
  </si>
  <si>
    <t>c)</t>
  </si>
  <si>
    <t>Lote económico de compra</t>
  </si>
  <si>
    <t>EOQ</t>
  </si>
  <si>
    <t>d)</t>
  </si>
  <si>
    <t>Tiempo entre pedidos</t>
  </si>
  <si>
    <t>TBO</t>
  </si>
  <si>
    <t>días</t>
  </si>
  <si>
    <t>e)</t>
  </si>
  <si>
    <t>Cantidad de pedidos</t>
  </si>
  <si>
    <t>pedidos/año</t>
  </si>
  <si>
    <t>El museo debería lanzar una orden de pedido por</t>
  </si>
  <si>
    <t>75 unidades, cada 25 días, ocasionando el menor</t>
  </si>
  <si>
    <t xml:space="preserve">costo total anual de gestión de inventarios por </t>
  </si>
  <si>
    <t>1124.1 dólares.</t>
  </si>
  <si>
    <t>Costo de pedir</t>
  </si>
  <si>
    <t>Costo de almacenamiento</t>
  </si>
  <si>
    <t>Costo anual de almacenamiento</t>
  </si>
  <si>
    <t>Cantidad de órdenes por año</t>
  </si>
  <si>
    <t>Tiempo de aprovisionamiento</t>
  </si>
  <si>
    <t>L</t>
  </si>
  <si>
    <t xml:space="preserve">Costo de pedir </t>
  </si>
  <si>
    <t>Demanda diaria</t>
  </si>
  <si>
    <t>d</t>
  </si>
  <si>
    <t>u/día</t>
  </si>
  <si>
    <t>Punto de pedido</t>
  </si>
  <si>
    <t>Pp</t>
  </si>
  <si>
    <t>u</t>
  </si>
  <si>
    <t>Cuando se tengan 16000 unidades en almacén se deberá lanzar</t>
  </si>
  <si>
    <t>la O/C para evitar roturas de stock. De manera, que las 16000 u</t>
  </si>
  <si>
    <t>nos permitan operar durante los 4 días de espera de la entrega</t>
  </si>
  <si>
    <t>del pedido hecho al proveedor.</t>
  </si>
  <si>
    <t>0 a 999</t>
  </si>
  <si>
    <t>1000 a 1999</t>
  </si>
  <si>
    <t>2000 a más</t>
  </si>
  <si>
    <t>Costo de almacenar</t>
  </si>
  <si>
    <t>Precio = Costo unitario</t>
  </si>
  <si>
    <t>Ajuste en el lote de compra</t>
  </si>
  <si>
    <t>CC</t>
  </si>
  <si>
    <t>Costo anual de compra</t>
  </si>
  <si>
    <t>Pidiendo en lote de 2000 unidades consigue el menor costo total por 46922.5 $/año</t>
  </si>
  <si>
    <t>0 a 10</t>
  </si>
  <si>
    <t>11 a 20</t>
  </si>
  <si>
    <t>21 a más</t>
  </si>
  <si>
    <t>Precio (costo unitario)</t>
  </si>
  <si>
    <t>Costo de inventario</t>
  </si>
  <si>
    <t>Ajusto en el lote de compra</t>
  </si>
  <si>
    <t>La empresa obtendrá el menor costo anual al comprar en lotes de 21 unidades.</t>
  </si>
  <si>
    <r>
      <t>Costo total = CM+CR</t>
    </r>
    <r>
      <rPr>
        <b/>
        <sz val="11"/>
        <color theme="8" tint="0.39997558519241921"/>
        <rFont val="Aptos Narrow"/>
        <scheme val="minor"/>
      </rPr>
      <t>+CC</t>
    </r>
  </si>
  <si>
    <t>Producción diaria</t>
  </si>
  <si>
    <t>p</t>
  </si>
  <si>
    <t>Costo de preparación (pedido)</t>
  </si>
  <si>
    <t>Lote óptimo de producción</t>
  </si>
  <si>
    <t>Qp</t>
  </si>
  <si>
    <t>COMPRAR:</t>
  </si>
  <si>
    <t>PRODUCIR:</t>
  </si>
  <si>
    <t>Costo de preparación</t>
  </si>
  <si>
    <t>Tasa de producción</t>
  </si>
  <si>
    <t>Lote óptimo de compra</t>
  </si>
  <si>
    <t>La empresa debería producir el artículo porque genera un menor costo total.</t>
  </si>
  <si>
    <t>sku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</si>
</sst>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#,##0.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9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b/>
      <sz val="11"/>
      <color rgb="FFFF0000"/>
      <name val="Aptos Narrow"/>
      <scheme val="minor"/>
    </font>
    <font>
      <b/>
      <sz val="9"/>
      <color theme="1"/>
      <name val="Aptos Narrow"/>
      <scheme val="minor"/>
    </font>
    <font>
      <b/>
      <sz val="11"/>
      <color rgb="FF0070C0"/>
      <name val="Aptos Narrow"/>
      <scheme val="minor"/>
    </font>
    <font>
      <b/>
      <sz val="11"/>
      <color rgb="FFC00000"/>
      <name val="Aptos Narrow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b/>
      <sz val="11"/>
      <color theme="8" tint="0.39997558519241921"/>
      <name val="Aptos Narrow"/>
      <scheme val="minor"/>
    </font>
    <font>
      <b/>
      <u/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5" fillId="2" borderId="0" xfId="0" applyFont="1" applyFill="1"/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0" xfId="0" applyFont="1" applyFill="1"/>
    <xf numFmtId="0" fontId="6" fillId="0" borderId="0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2" borderId="0" xfId="0" applyFont="1" applyFill="1"/>
    <xf numFmtId="0" fontId="1" fillId="4" borderId="1" xfId="0" applyNumberFormat="1" applyFont="1" applyFill="1" applyBorder="1" applyAlignment="1">
      <alignment horizontal="center"/>
    </xf>
    <xf numFmtId="0" fontId="5" fillId="4" borderId="0" xfId="0" applyFont="1" applyFill="1"/>
    <xf numFmtId="0" fontId="1" fillId="0" borderId="0" xfId="0" applyFont="1"/>
    <xf numFmtId="0" fontId="5" fillId="3" borderId="0" xfId="0" applyFont="1" applyFill="1"/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6" fillId="0" borderId="0" xfId="0" applyFont="1"/>
    <xf numFmtId="0" fontId="1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4" borderId="1" xfId="0" applyFill="1" applyBorder="1"/>
    <xf numFmtId="1" fontId="0" fillId="0" borderId="1" xfId="0" applyNumberFormat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0" fontId="0" fillId="6" borderId="1" xfId="0" applyFill="1" applyBorder="1"/>
    <xf numFmtId="0" fontId="1" fillId="6" borderId="1" xfId="0" applyFont="1" applyFill="1" applyBorder="1" applyAlignment="1">
      <alignment horizontal="center"/>
    </xf>
    <xf numFmtId="3" fontId="0" fillId="0" borderId="1" xfId="1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1" fillId="2" borderId="1" xfId="1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2" borderId="0" xfId="0" applyFont="1" applyFill="1"/>
    <xf numFmtId="0" fontId="10" fillId="2" borderId="1" xfId="0" applyFont="1" applyFill="1" applyBorder="1" applyAlignment="1">
      <alignment horizontal="center"/>
    </xf>
    <xf numFmtId="165" fontId="1" fillId="2" borderId="1" xfId="1" applyNumberFormat="1" applyFont="1" applyFill="1" applyBorder="1" applyAlignment="1">
      <alignment horizontal="center"/>
    </xf>
    <xf numFmtId="0" fontId="12" fillId="0" borderId="0" xfId="0" applyFont="1"/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2">
    <dxf>
      <font>
        <color rgb="FF0070C0"/>
      </font>
      <fill>
        <patternFill>
          <bgColor theme="3" tint="0.89996032593768116"/>
        </patternFill>
      </fill>
    </dxf>
    <dxf>
      <font>
        <color theme="4"/>
      </font>
      <fill>
        <patternFill>
          <bgColor theme="3" tint="0.89996032593768116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tmp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mp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tmp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tmp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25401</xdr:rowOff>
    </xdr:from>
    <xdr:to>
      <xdr:col>5</xdr:col>
      <xdr:colOff>609600</xdr:colOff>
      <xdr:row>11</xdr:row>
      <xdr:rowOff>107643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A34860D-09F3-BD3E-B58E-B75E6CD8D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401"/>
          <a:ext cx="4800600" cy="2155330"/>
        </a:xfrm>
        <a:prstGeom prst="rect">
          <a:avLst/>
        </a:prstGeom>
      </xdr:spPr>
    </xdr:pic>
    <xdr:clientData/>
  </xdr:twoCellAnchor>
  <xdr:twoCellAnchor>
    <xdr:from>
      <xdr:col>5</xdr:col>
      <xdr:colOff>577103</xdr:colOff>
      <xdr:row>22</xdr:row>
      <xdr:rowOff>16809</xdr:rowOff>
    </xdr:from>
    <xdr:to>
      <xdr:col>5</xdr:col>
      <xdr:colOff>829235</xdr:colOff>
      <xdr:row>32</xdr:row>
      <xdr:rowOff>117662</xdr:rowOff>
    </xdr:to>
    <xdr:sp macro="" textlink="">
      <xdr:nvSpPr>
        <xdr:cNvPr id="2" name="Abrir llave 1">
          <a:extLst>
            <a:ext uri="{FF2B5EF4-FFF2-40B4-BE49-F238E27FC236}">
              <a16:creationId xmlns:a16="http://schemas.microsoft.com/office/drawing/2014/main" id="{986727A4-68F3-4DB8-A289-CEA989EE8257}"/>
            </a:ext>
          </a:extLst>
        </xdr:cNvPr>
        <xdr:cNvSpPr/>
      </xdr:nvSpPr>
      <xdr:spPr>
        <a:xfrm>
          <a:off x="4779309" y="4185397"/>
          <a:ext cx="252132" cy="2005853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es-P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6</xdr:col>
      <xdr:colOff>114301</xdr:colOff>
      <xdr:row>8</xdr:row>
      <xdr:rowOff>139700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1CBD452-3969-E0A0-3F3C-648B521C4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5143500" cy="1663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4</xdr:col>
      <xdr:colOff>799042</xdr:colOff>
      <xdr:row>8</xdr:row>
      <xdr:rowOff>47636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EC20AE-7D2B-544B-79FF-832E1E23B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4143375" cy="1571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4</xdr:col>
      <xdr:colOff>711573</xdr:colOff>
      <xdr:row>8</xdr:row>
      <xdr:rowOff>1311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914DF7-5ECD-211C-E23F-B44863EDB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4073338" cy="15253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43544</xdr:rowOff>
    </xdr:from>
    <xdr:to>
      <xdr:col>4</xdr:col>
      <xdr:colOff>462643</xdr:colOff>
      <xdr:row>8</xdr:row>
      <xdr:rowOff>80948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F924A9-C0BC-AD4B-41FA-ED0735884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3544"/>
          <a:ext cx="3842657" cy="162671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4</xdr:col>
      <xdr:colOff>517072</xdr:colOff>
      <xdr:row>7</xdr:row>
      <xdr:rowOff>115021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E464E5-3337-105F-026C-2F187B606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3935185" cy="13723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4</xdr:col>
      <xdr:colOff>62593</xdr:colOff>
      <xdr:row>6</xdr:row>
      <xdr:rowOff>17411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FE472D-6E64-0C25-C354-6BF98A371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3995057" cy="1062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BD28-0FDB-462E-8C87-AF792D201A27}">
  <dimension ref="A2:N32"/>
  <sheetViews>
    <sheetView tabSelected="1" zoomScale="137" zoomScaleNormal="120" workbookViewId="0">
      <selection activeCell="J12" sqref="J12"/>
    </sheetView>
  </sheetViews>
  <sheetFormatPr baseColWidth="10" defaultRowHeight="15" x14ac:dyDescent="0.2"/>
  <cols>
    <col min="7" max="7" width="5.1640625" style="1" customWidth="1"/>
    <col min="8" max="8" width="26.33203125" bestFit="1" customWidth="1"/>
    <col min="9" max="9" width="5" style="2" customWidth="1"/>
    <col min="10" max="10" width="11" style="1"/>
    <col min="11" max="11" width="11" style="3"/>
  </cols>
  <sheetData>
    <row r="2" spans="7:14" x14ac:dyDescent="0.2">
      <c r="H2" s="4" t="s">
        <v>0</v>
      </c>
      <c r="I2" s="5" t="s">
        <v>1</v>
      </c>
      <c r="J2" s="6">
        <f>18*52</f>
        <v>936</v>
      </c>
      <c r="K2" s="3" t="s">
        <v>2</v>
      </c>
      <c r="L2" s="7" t="str">
        <f ca="1">_xlfn.FORMULATEXT(J2)</f>
        <v>=18*52</v>
      </c>
    </row>
    <row r="3" spans="7:14" x14ac:dyDescent="0.2">
      <c r="H3" s="4" t="s">
        <v>3</v>
      </c>
      <c r="I3" s="5" t="s">
        <v>4</v>
      </c>
      <c r="J3" s="6">
        <v>60</v>
      </c>
      <c r="K3" s="3" t="s">
        <v>5</v>
      </c>
    </row>
    <row r="4" spans="7:14" x14ac:dyDescent="0.2">
      <c r="H4" s="4" t="s">
        <v>6</v>
      </c>
      <c r="I4" s="5" t="s">
        <v>7</v>
      </c>
      <c r="J4" s="6">
        <v>45</v>
      </c>
      <c r="K4" s="3" t="s">
        <v>8</v>
      </c>
    </row>
    <row r="5" spans="7:14" x14ac:dyDescent="0.2">
      <c r="H5" s="4" t="s">
        <v>9</v>
      </c>
      <c r="I5" s="5" t="s">
        <v>10</v>
      </c>
      <c r="J5" s="6">
        <f>25%*J3</f>
        <v>15</v>
      </c>
      <c r="K5" s="3" t="s">
        <v>11</v>
      </c>
      <c r="L5" s="7" t="str">
        <f ca="1">_xlfn.FORMULATEXT(J5)</f>
        <v>=25%*J3</v>
      </c>
    </row>
    <row r="6" spans="7:14" x14ac:dyDescent="0.2">
      <c r="H6" s="4" t="s">
        <v>12</v>
      </c>
      <c r="I6" s="5"/>
      <c r="J6" s="6">
        <f>52*6</f>
        <v>312</v>
      </c>
      <c r="K6" s="3" t="s">
        <v>13</v>
      </c>
      <c r="L6" s="7" t="str">
        <f ca="1">_xlfn.FORMULATEXT(J6)</f>
        <v>=52*6</v>
      </c>
    </row>
    <row r="7" spans="7:14" x14ac:dyDescent="0.2">
      <c r="I7"/>
      <c r="J7"/>
      <c r="K7"/>
    </row>
    <row r="8" spans="7:14" x14ac:dyDescent="0.2">
      <c r="I8"/>
      <c r="J8"/>
      <c r="K8"/>
    </row>
    <row r="9" spans="7:14" x14ac:dyDescent="0.2">
      <c r="G9" s="8" t="s">
        <v>14</v>
      </c>
      <c r="H9" s="12" t="s">
        <v>15</v>
      </c>
      <c r="I9" s="13" t="s">
        <v>16</v>
      </c>
      <c r="J9" s="14">
        <v>390</v>
      </c>
      <c r="K9" s="15" t="s">
        <v>17</v>
      </c>
      <c r="N9">
        <f>+J2/J9</f>
        <v>2.4</v>
      </c>
    </row>
    <row r="11" spans="7:14" x14ac:dyDescent="0.2">
      <c r="H11" s="4" t="s">
        <v>22</v>
      </c>
      <c r="I11" s="5" t="s">
        <v>18</v>
      </c>
      <c r="J11" s="55">
        <f>(J9/2) * J5</f>
        <v>2925</v>
      </c>
      <c r="K11" s="3" t="s">
        <v>24</v>
      </c>
      <c r="L11" s="7" t="str">
        <f t="shared" ref="L11:L13" ca="1" si="0">_xlfn.FORMULATEXT(J11)</f>
        <v>=(J9/2) * J5</v>
      </c>
    </row>
    <row r="12" spans="7:14" x14ac:dyDescent="0.2">
      <c r="H12" s="4" t="s">
        <v>23</v>
      </c>
      <c r="I12" s="5" t="s">
        <v>19</v>
      </c>
      <c r="J12" s="56">
        <f>(J2/J9) * J4</f>
        <v>108</v>
      </c>
      <c r="K12" s="3" t="s">
        <v>24</v>
      </c>
      <c r="L12" s="7" t="str">
        <f t="shared" ca="1" si="0"/>
        <v>=(J2/J9) * J4</v>
      </c>
    </row>
    <row r="13" spans="7:14" x14ac:dyDescent="0.2">
      <c r="H13" s="9" t="s">
        <v>21</v>
      </c>
      <c r="I13" s="10" t="s">
        <v>20</v>
      </c>
      <c r="J13" s="10">
        <f>SUM(J11:J12)</f>
        <v>3033</v>
      </c>
      <c r="K13" s="11" t="s">
        <v>24</v>
      </c>
      <c r="L13" s="7" t="str">
        <f t="shared" ca="1" si="0"/>
        <v>=SUMA(J11:J12)</v>
      </c>
    </row>
    <row r="16" spans="7:14" x14ac:dyDescent="0.2">
      <c r="G16" s="8" t="s">
        <v>26</v>
      </c>
      <c r="H16" s="12" t="s">
        <v>15</v>
      </c>
      <c r="I16" s="13" t="s">
        <v>16</v>
      </c>
      <c r="J16" s="14">
        <v>468</v>
      </c>
      <c r="K16" s="15" t="s">
        <v>17</v>
      </c>
      <c r="N16">
        <f>+J2/J16</f>
        <v>2</v>
      </c>
    </row>
    <row r="17" spans="1:14" x14ac:dyDescent="0.2">
      <c r="A17" t="s">
        <v>86</v>
      </c>
      <c r="B17">
        <v>10</v>
      </c>
      <c r="C17">
        <v>1.06</v>
      </c>
    </row>
    <row r="18" spans="1:14" x14ac:dyDescent="0.2">
      <c r="C18">
        <f>+C17*B17</f>
        <v>10.600000000000001</v>
      </c>
      <c r="H18" s="4" t="s">
        <v>22</v>
      </c>
      <c r="I18" s="5" t="s">
        <v>18</v>
      </c>
      <c r="J18" s="55">
        <f>(J16/2) * J5</f>
        <v>3510</v>
      </c>
      <c r="K18" s="3" t="s">
        <v>24</v>
      </c>
      <c r="L18" s="7" t="str">
        <f t="shared" ref="L18:L20" ca="1" si="1">_xlfn.FORMULATEXT(J18)</f>
        <v>=(J16/2) * J5</v>
      </c>
    </row>
    <row r="19" spans="1:14" x14ac:dyDescent="0.2">
      <c r="H19" s="4" t="s">
        <v>23</v>
      </c>
      <c r="I19" s="5" t="s">
        <v>19</v>
      </c>
      <c r="J19" s="56">
        <f>(J2/J16) * J4</f>
        <v>90</v>
      </c>
      <c r="K19" s="3" t="s">
        <v>24</v>
      </c>
      <c r="L19" s="7" t="str">
        <f t="shared" ca="1" si="1"/>
        <v>=(J2/J16) * J4</v>
      </c>
    </row>
    <row r="20" spans="1:14" x14ac:dyDescent="0.2">
      <c r="H20" s="9" t="s">
        <v>21</v>
      </c>
      <c r="I20" s="10" t="s">
        <v>20</v>
      </c>
      <c r="J20" s="10">
        <f>SUM(J18:J19)</f>
        <v>3600</v>
      </c>
      <c r="K20" s="11" t="s">
        <v>24</v>
      </c>
      <c r="L20" s="7" t="str">
        <f t="shared" ca="1" si="1"/>
        <v>=SUMA(J18:J19)</v>
      </c>
    </row>
    <row r="21" spans="1:14" x14ac:dyDescent="0.2">
      <c r="H21" s="16" t="s">
        <v>25</v>
      </c>
    </row>
    <row r="23" spans="1:14" x14ac:dyDescent="0.2">
      <c r="N23">
        <f>+J2/J24</f>
        <v>12.48</v>
      </c>
    </row>
    <row r="24" spans="1:14" x14ac:dyDescent="0.2">
      <c r="G24" s="8" t="s">
        <v>27</v>
      </c>
      <c r="H24" s="18" t="s">
        <v>28</v>
      </c>
      <c r="I24" s="19" t="s">
        <v>29</v>
      </c>
      <c r="J24" s="22">
        <f>ROUNDUP(SQRT(2*J2*J4/J5),0)</f>
        <v>75</v>
      </c>
      <c r="K24" s="23" t="s">
        <v>17</v>
      </c>
      <c r="L24" s="7" t="str">
        <f t="shared" ref="L24:L28" ca="1" si="2">_xlfn.FORMULATEXT(J24)</f>
        <v>=REDONDEAR.MAS(RAIZ(2*J2*J4/J5);0)</v>
      </c>
    </row>
    <row r="26" spans="1:14" x14ac:dyDescent="0.2">
      <c r="B26" s="21" t="s">
        <v>37</v>
      </c>
      <c r="C26" s="21"/>
      <c r="D26" s="21"/>
      <c r="E26" s="21"/>
      <c r="H26" s="4" t="s">
        <v>22</v>
      </c>
      <c r="I26" s="5" t="s">
        <v>18</v>
      </c>
      <c r="J26" s="55">
        <f>(J24/2) * J5</f>
        <v>562.5</v>
      </c>
      <c r="K26" s="3" t="s">
        <v>24</v>
      </c>
      <c r="L26" s="7" t="str">
        <f t="shared" ca="1" si="2"/>
        <v>=(J24/2) * J5</v>
      </c>
    </row>
    <row r="27" spans="1:14" x14ac:dyDescent="0.2">
      <c r="B27" s="21" t="s">
        <v>38</v>
      </c>
      <c r="C27" s="21"/>
      <c r="D27" s="21"/>
      <c r="E27" s="21"/>
      <c r="H27" s="4" t="s">
        <v>23</v>
      </c>
      <c r="I27" s="5" t="s">
        <v>19</v>
      </c>
      <c r="J27" s="56">
        <f>(J2/J24) * J4</f>
        <v>561.6</v>
      </c>
      <c r="K27" s="3" t="s">
        <v>24</v>
      </c>
      <c r="L27" s="7" t="str">
        <f t="shared" ca="1" si="2"/>
        <v>=(J2/J24) * J4</v>
      </c>
    </row>
    <row r="28" spans="1:14" x14ac:dyDescent="0.2">
      <c r="B28" s="21" t="s">
        <v>39</v>
      </c>
      <c r="C28" s="21"/>
      <c r="D28" s="21"/>
      <c r="E28" s="21"/>
      <c r="H28" s="9" t="s">
        <v>21</v>
      </c>
      <c r="I28" s="10" t="s">
        <v>20</v>
      </c>
      <c r="J28" s="10">
        <f>SUM(J26:J27)</f>
        <v>1124.0999999999999</v>
      </c>
      <c r="K28" s="11" t="s">
        <v>24</v>
      </c>
      <c r="L28" s="7" t="str">
        <f t="shared" ca="1" si="2"/>
        <v>=SUMA(J26:J27)</v>
      </c>
    </row>
    <row r="29" spans="1:14" x14ac:dyDescent="0.2">
      <c r="B29" s="21" t="s">
        <v>40</v>
      </c>
      <c r="C29" s="21"/>
      <c r="D29" s="21"/>
      <c r="E29" s="21"/>
    </row>
    <row r="30" spans="1:14" x14ac:dyDescent="0.2">
      <c r="G30" s="8" t="s">
        <v>30</v>
      </c>
      <c r="H30" s="9" t="s">
        <v>31</v>
      </c>
      <c r="I30" s="10" t="s">
        <v>32</v>
      </c>
      <c r="J30" s="10">
        <f>(J24/J2) * J6</f>
        <v>25.000000000000004</v>
      </c>
      <c r="K30" s="11" t="s">
        <v>33</v>
      </c>
      <c r="L30" s="7" t="str">
        <f t="shared" ref="L30" ca="1" si="3">_xlfn.FORMULATEXT(J30)</f>
        <v>=(J24/J2) * J6</v>
      </c>
    </row>
    <row r="32" spans="1:14" x14ac:dyDescent="0.2">
      <c r="G32" s="8" t="s">
        <v>34</v>
      </c>
      <c r="H32" s="9" t="s">
        <v>35</v>
      </c>
      <c r="I32" s="10"/>
      <c r="J32" s="10">
        <f>J2/J24</f>
        <v>12.48</v>
      </c>
      <c r="K32" s="11" t="s">
        <v>36</v>
      </c>
      <c r="L32" s="7" t="str">
        <f t="shared" ref="L32" ca="1" si="4">_xlfn.FORMULATEXT(J32)</f>
        <v>=J2/J24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C914E-6BD9-4271-BFF4-83B885B8880F}">
  <dimension ref="G2:L17"/>
  <sheetViews>
    <sheetView zoomScale="150" zoomScaleNormal="150" workbookViewId="0">
      <selection activeCell="J18" sqref="J18"/>
    </sheetView>
  </sheetViews>
  <sheetFormatPr baseColWidth="10" defaultRowHeight="15" x14ac:dyDescent="0.2"/>
  <cols>
    <col min="7" max="7" width="11" style="8"/>
    <col min="8" max="8" width="26.5" customWidth="1"/>
    <col min="9" max="9" width="5.1640625" style="2" customWidth="1"/>
    <col min="10" max="10" width="11" style="1"/>
    <col min="11" max="11" width="11" style="3"/>
  </cols>
  <sheetData>
    <row r="2" spans="7:12" x14ac:dyDescent="0.2">
      <c r="H2" s="4" t="s">
        <v>0</v>
      </c>
      <c r="I2" s="5" t="s">
        <v>1</v>
      </c>
      <c r="J2" s="6">
        <v>500000</v>
      </c>
      <c r="K2" s="3" t="s">
        <v>2</v>
      </c>
    </row>
    <row r="3" spans="7:12" x14ac:dyDescent="0.2">
      <c r="H3" s="4" t="s">
        <v>41</v>
      </c>
      <c r="I3" s="5" t="s">
        <v>7</v>
      </c>
      <c r="J3" s="6">
        <v>40</v>
      </c>
      <c r="K3" s="3" t="s">
        <v>8</v>
      </c>
    </row>
    <row r="4" spans="7:12" x14ac:dyDescent="0.2">
      <c r="H4" s="4" t="s">
        <v>42</v>
      </c>
      <c r="I4" s="5" t="s">
        <v>10</v>
      </c>
      <c r="J4" s="6">
        <v>0.6</v>
      </c>
      <c r="K4" s="3" t="s">
        <v>11</v>
      </c>
    </row>
    <row r="7" spans="7:12" x14ac:dyDescent="0.2">
      <c r="G7" s="8" t="s">
        <v>14</v>
      </c>
      <c r="H7" s="17" t="s">
        <v>28</v>
      </c>
      <c r="I7" s="13" t="s">
        <v>29</v>
      </c>
      <c r="J7" s="13">
        <f>ROUNDUP( SQRT(2*J2*J3/J4),0)</f>
        <v>8165</v>
      </c>
      <c r="K7" s="25" t="s">
        <v>17</v>
      </c>
      <c r="L7" s="7" t="str">
        <f ca="1">_xlfn.FORMULATEXT(J7)</f>
        <v>=REDONDEAR.MAS( RAIZ(2*J2*J3/J4);0)</v>
      </c>
    </row>
    <row r="9" spans="7:12" x14ac:dyDescent="0.2">
      <c r="H9" s="4" t="s">
        <v>43</v>
      </c>
      <c r="I9" s="5" t="s">
        <v>18</v>
      </c>
      <c r="J9" s="6">
        <f>(J7/2) * J4</f>
        <v>2449.5</v>
      </c>
      <c r="K9" s="3" t="s">
        <v>24</v>
      </c>
      <c r="L9" s="7" t="str">
        <f t="shared" ref="L9:L11" ca="1" si="0">_xlfn.FORMULATEXT(J9)</f>
        <v>=(J7/2) * J4</v>
      </c>
    </row>
    <row r="10" spans="7:12" x14ac:dyDescent="0.2">
      <c r="H10" s="4" t="s">
        <v>23</v>
      </c>
      <c r="I10" s="5" t="s">
        <v>19</v>
      </c>
      <c r="J10" s="27">
        <f>(J2/J7) * J3</f>
        <v>2449.4794856093081</v>
      </c>
      <c r="K10" s="3" t="s">
        <v>24</v>
      </c>
      <c r="L10" s="7" t="str">
        <f t="shared" ca="1" si="0"/>
        <v>=(J2/J7) * J3</v>
      </c>
    </row>
    <row r="11" spans="7:12" x14ac:dyDescent="0.2">
      <c r="H11" s="9" t="s">
        <v>21</v>
      </c>
      <c r="I11" s="10" t="s">
        <v>20</v>
      </c>
      <c r="J11" s="28">
        <f>SUM(J9:J10)</f>
        <v>4898.9794856093085</v>
      </c>
      <c r="K11" s="11" t="s">
        <v>24</v>
      </c>
      <c r="L11" s="7" t="str">
        <f t="shared" ca="1" si="0"/>
        <v>=SUMA(J9:J10)</v>
      </c>
    </row>
    <row r="14" spans="7:12" x14ac:dyDescent="0.2">
      <c r="G14" s="8" t="s">
        <v>26</v>
      </c>
      <c r="H14" s="9" t="s">
        <v>31</v>
      </c>
      <c r="I14" s="10" t="s">
        <v>32</v>
      </c>
      <c r="J14" s="28">
        <f>J7/J2 * 365</f>
        <v>5.9604500000000007</v>
      </c>
      <c r="K14" s="11" t="s">
        <v>33</v>
      </c>
      <c r="L14" s="7" t="str">
        <f t="shared" ref="L14" ca="1" si="1">_xlfn.FORMULATEXT(J14)</f>
        <v>=J7/J2 * 365</v>
      </c>
    </row>
    <row r="17" spans="7:12" x14ac:dyDescent="0.2">
      <c r="G17" s="8" t="s">
        <v>27</v>
      </c>
      <c r="H17" s="9" t="s">
        <v>44</v>
      </c>
      <c r="I17" s="10"/>
      <c r="J17" s="28">
        <f>J2/J7</f>
        <v>61.236987140232699</v>
      </c>
      <c r="K17" s="11" t="s">
        <v>36</v>
      </c>
      <c r="L17" s="7" t="str">
        <f t="shared" ref="L17" ca="1" si="2">_xlfn.FORMULATEXT(J17)</f>
        <v>=J2/J7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318E0-65CF-4AA2-A886-93C5B02FE622}">
  <dimension ref="F2:K24"/>
  <sheetViews>
    <sheetView zoomScale="150" zoomScaleNormal="150" workbookViewId="0">
      <selection activeCell="G16" sqref="G16:K16"/>
    </sheetView>
  </sheetViews>
  <sheetFormatPr baseColWidth="10" defaultRowHeight="15" x14ac:dyDescent="0.2"/>
  <cols>
    <col min="6" max="6" width="11" style="8"/>
    <col min="7" max="7" width="25" bestFit="1" customWidth="1"/>
    <col min="8" max="8" width="5.1640625" style="2" customWidth="1"/>
    <col min="9" max="9" width="10" style="1" customWidth="1"/>
    <col min="10" max="10" width="11" style="3"/>
  </cols>
  <sheetData>
    <row r="2" spans="6:11" x14ac:dyDescent="0.2">
      <c r="G2" s="4" t="s">
        <v>45</v>
      </c>
      <c r="H2" s="5" t="s">
        <v>46</v>
      </c>
      <c r="I2" s="6">
        <v>4</v>
      </c>
      <c r="J2" s="3" t="s">
        <v>33</v>
      </c>
    </row>
    <row r="3" spans="6:11" x14ac:dyDescent="0.2">
      <c r="G3" s="4" t="s">
        <v>3</v>
      </c>
      <c r="H3" s="5" t="s">
        <v>4</v>
      </c>
      <c r="I3" s="6">
        <v>500</v>
      </c>
      <c r="J3" s="3" t="s">
        <v>5</v>
      </c>
    </row>
    <row r="4" spans="6:11" x14ac:dyDescent="0.2">
      <c r="G4" s="4" t="s">
        <v>12</v>
      </c>
      <c r="H4" s="5"/>
      <c r="I4" s="6">
        <v>300</v>
      </c>
      <c r="J4" s="3" t="s">
        <v>13</v>
      </c>
    </row>
    <row r="5" spans="6:11" x14ac:dyDescent="0.2">
      <c r="G5" s="4" t="s">
        <v>0</v>
      </c>
      <c r="H5" s="5" t="s">
        <v>1</v>
      </c>
      <c r="I5" s="29">
        <v>1200000</v>
      </c>
      <c r="J5" s="3" t="s">
        <v>2</v>
      </c>
    </row>
    <row r="6" spans="6:11" x14ac:dyDescent="0.2">
      <c r="G6" s="4" t="s">
        <v>47</v>
      </c>
      <c r="H6" s="5" t="s">
        <v>7</v>
      </c>
      <c r="I6" s="29">
        <f>12000000/100</f>
        <v>120000</v>
      </c>
      <c r="J6" s="3" t="s">
        <v>8</v>
      </c>
    </row>
    <row r="7" spans="6:11" x14ac:dyDescent="0.2">
      <c r="G7" s="4" t="s">
        <v>9</v>
      </c>
      <c r="H7" s="5" t="s">
        <v>10</v>
      </c>
      <c r="I7" s="6">
        <f>22%*I3</f>
        <v>110</v>
      </c>
      <c r="J7" s="3" t="s">
        <v>11</v>
      </c>
      <c r="K7" s="7" t="str">
        <f ca="1">_xlfn.FORMULATEXT(I7)</f>
        <v>=22%*I3</v>
      </c>
    </row>
    <row r="10" spans="6:11" x14ac:dyDescent="0.2">
      <c r="F10" s="8" t="s">
        <v>14</v>
      </c>
      <c r="G10" s="9" t="s">
        <v>28</v>
      </c>
      <c r="H10" s="10" t="s">
        <v>29</v>
      </c>
      <c r="I10" s="30">
        <f>ROUNDUP(SQRT(2*I5*I6/I7),0)</f>
        <v>51169</v>
      </c>
      <c r="J10" s="11" t="s">
        <v>17</v>
      </c>
      <c r="K10" s="7" t="str">
        <f ca="1">_xlfn.FORMULATEXT(I10)</f>
        <v>=REDONDEAR.MAS(RAIZ(2*I5*I6/I7);0)</v>
      </c>
    </row>
    <row r="11" spans="6:11" x14ac:dyDescent="0.2">
      <c r="G11" s="24"/>
    </row>
    <row r="12" spans="6:11" x14ac:dyDescent="0.2">
      <c r="F12" s="8" t="s">
        <v>26</v>
      </c>
      <c r="G12" s="9" t="s">
        <v>31</v>
      </c>
      <c r="H12" s="10" t="s">
        <v>32</v>
      </c>
      <c r="I12" s="31">
        <f>I10/I5 * I4</f>
        <v>12.792250000000001</v>
      </c>
      <c r="J12" s="11" t="s">
        <v>33</v>
      </c>
      <c r="K12" s="7" t="str">
        <f ca="1">_xlfn.FORMULATEXT(I12)</f>
        <v>=I10/I5 * I4</v>
      </c>
    </row>
    <row r="14" spans="6:11" x14ac:dyDescent="0.2">
      <c r="F14" s="8" t="s">
        <v>27</v>
      </c>
      <c r="G14" s="4" t="s">
        <v>48</v>
      </c>
      <c r="H14" s="5" t="s">
        <v>49</v>
      </c>
      <c r="I14" s="29">
        <f>I5/I4</f>
        <v>4000</v>
      </c>
      <c r="J14" s="3" t="s">
        <v>50</v>
      </c>
      <c r="K14" s="7" t="str">
        <f ca="1">_xlfn.FORMULATEXT(I14)</f>
        <v>=I5/I4</v>
      </c>
    </row>
    <row r="15" spans="6:11" x14ac:dyDescent="0.2">
      <c r="G15" s="4" t="s">
        <v>45</v>
      </c>
      <c r="H15" s="5" t="s">
        <v>46</v>
      </c>
      <c r="I15" s="6">
        <v>4</v>
      </c>
      <c r="J15" s="3" t="s">
        <v>33</v>
      </c>
    </row>
    <row r="16" spans="6:11" x14ac:dyDescent="0.2">
      <c r="G16" s="9" t="s">
        <v>51</v>
      </c>
      <c r="H16" s="10" t="s">
        <v>52</v>
      </c>
      <c r="I16" s="30">
        <f>I14*I15</f>
        <v>16000</v>
      </c>
      <c r="J16" s="11" t="s">
        <v>53</v>
      </c>
      <c r="K16" s="7" t="str">
        <f ca="1">_xlfn.FORMULATEXT(I16)</f>
        <v>=I14*I15</v>
      </c>
    </row>
    <row r="17" spans="6:11" x14ac:dyDescent="0.2">
      <c r="G17" s="32" t="s">
        <v>54</v>
      </c>
    </row>
    <row r="18" spans="6:11" x14ac:dyDescent="0.2">
      <c r="G18" s="32" t="s">
        <v>55</v>
      </c>
    </row>
    <row r="19" spans="6:11" x14ac:dyDescent="0.2">
      <c r="G19" s="32" t="s">
        <v>56</v>
      </c>
    </row>
    <row r="20" spans="6:11" x14ac:dyDescent="0.2">
      <c r="G20" s="32" t="s">
        <v>57</v>
      </c>
    </row>
    <row r="22" spans="6:11" x14ac:dyDescent="0.2">
      <c r="F22" s="8" t="s">
        <v>27</v>
      </c>
      <c r="G22" s="4" t="s">
        <v>22</v>
      </c>
      <c r="H22" s="5" t="s">
        <v>18</v>
      </c>
      <c r="I22" s="29">
        <f>(I10/2) * I7</f>
        <v>2814295</v>
      </c>
      <c r="J22" s="3" t="s">
        <v>24</v>
      </c>
      <c r="K22" s="7" t="str">
        <f t="shared" ref="K22:K24" ca="1" si="0">_xlfn.FORMULATEXT(I22)</f>
        <v>=(I10/2) * I7</v>
      </c>
    </row>
    <row r="23" spans="6:11" x14ac:dyDescent="0.2">
      <c r="G23" s="4" t="s">
        <v>23</v>
      </c>
      <c r="H23" s="5" t="s">
        <v>19</v>
      </c>
      <c r="I23" s="29">
        <f>(I5/I10) * I6</f>
        <v>2814203.9125251616</v>
      </c>
      <c r="J23" s="3" t="s">
        <v>24</v>
      </c>
      <c r="K23" s="7" t="str">
        <f t="shared" ca="1" si="0"/>
        <v>=(I5/I10) * I6</v>
      </c>
    </row>
    <row r="24" spans="6:11" x14ac:dyDescent="0.2">
      <c r="G24" s="9" t="s">
        <v>21</v>
      </c>
      <c r="H24" s="10" t="s">
        <v>20</v>
      </c>
      <c r="I24" s="30">
        <f>SUM(I22:I23)</f>
        <v>5628498.9125251621</v>
      </c>
      <c r="J24" s="11" t="s">
        <v>24</v>
      </c>
      <c r="K24" s="7" t="str">
        <f t="shared" ca="1" si="0"/>
        <v>=SUMA(I22:I23)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35E18-B272-4649-AC04-0BD8A955D681}">
  <dimension ref="F3:L17"/>
  <sheetViews>
    <sheetView zoomScale="120" zoomScaleNormal="120" workbookViewId="0">
      <selection activeCell="A22" sqref="A22"/>
    </sheetView>
  </sheetViews>
  <sheetFormatPr baseColWidth="10" defaultRowHeight="15" x14ac:dyDescent="0.2"/>
  <cols>
    <col min="6" max="6" width="26.33203125" bestFit="1" customWidth="1"/>
    <col min="7" max="7" width="5.1640625" style="2" bestFit="1" customWidth="1"/>
    <col min="8" max="10" width="11.83203125" style="1" customWidth="1"/>
    <col min="11" max="11" width="11" style="3"/>
  </cols>
  <sheetData>
    <row r="3" spans="6:12" x14ac:dyDescent="0.2">
      <c r="F3" s="4"/>
      <c r="G3" s="5"/>
      <c r="H3" s="33" t="s">
        <v>58</v>
      </c>
      <c r="I3" s="33" t="s">
        <v>59</v>
      </c>
      <c r="J3" s="33" t="s">
        <v>60</v>
      </c>
    </row>
    <row r="4" spans="6:12" x14ac:dyDescent="0.2">
      <c r="F4" s="4" t="s">
        <v>41</v>
      </c>
      <c r="G4" s="5" t="s">
        <v>7</v>
      </c>
      <c r="H4" s="6">
        <v>49</v>
      </c>
      <c r="I4" s="6">
        <v>49</v>
      </c>
      <c r="J4" s="6">
        <v>49</v>
      </c>
      <c r="K4" s="3" t="s">
        <v>8</v>
      </c>
    </row>
    <row r="5" spans="6:12" x14ac:dyDescent="0.2">
      <c r="F5" s="4" t="s">
        <v>0</v>
      </c>
      <c r="G5" s="5" t="s">
        <v>1</v>
      </c>
      <c r="H5" s="6">
        <v>5000</v>
      </c>
      <c r="I5" s="6">
        <v>5000</v>
      </c>
      <c r="J5" s="6">
        <v>5000</v>
      </c>
      <c r="K5" s="3" t="s">
        <v>2</v>
      </c>
    </row>
    <row r="6" spans="6:12" x14ac:dyDescent="0.2">
      <c r="F6" s="4" t="s">
        <v>62</v>
      </c>
      <c r="G6" s="5" t="s">
        <v>4</v>
      </c>
      <c r="H6" s="34">
        <v>10</v>
      </c>
      <c r="I6" s="35">
        <f>H6*(1-4%)</f>
        <v>9.6</v>
      </c>
      <c r="J6" s="35">
        <f>H6*(1-10%)</f>
        <v>9</v>
      </c>
      <c r="K6" s="3" t="s">
        <v>5</v>
      </c>
    </row>
    <row r="7" spans="6:12" x14ac:dyDescent="0.2">
      <c r="F7" s="4" t="s">
        <v>61</v>
      </c>
      <c r="G7" s="5" t="s">
        <v>10</v>
      </c>
      <c r="H7" s="6">
        <f>20%*H6</f>
        <v>2</v>
      </c>
      <c r="I7" s="6">
        <f t="shared" ref="I7:J7" si="0">20%*I6</f>
        <v>1.92</v>
      </c>
      <c r="J7" s="6">
        <f t="shared" si="0"/>
        <v>1.8</v>
      </c>
      <c r="K7" s="3" t="s">
        <v>11</v>
      </c>
    </row>
    <row r="8" spans="6:12" x14ac:dyDescent="0.2">
      <c r="F8" s="4"/>
      <c r="G8" s="5"/>
      <c r="H8" s="6"/>
      <c r="I8" s="6"/>
      <c r="J8" s="6"/>
    </row>
    <row r="9" spans="6:12" x14ac:dyDescent="0.2">
      <c r="F9" s="18" t="s">
        <v>28</v>
      </c>
      <c r="G9" s="19" t="s">
        <v>29</v>
      </c>
      <c r="H9" s="20">
        <f>ROUNDUP(SQRT(2*H5*H4/H7),0)</f>
        <v>495</v>
      </c>
      <c r="I9" s="20">
        <f t="shared" ref="I9:J9" si="1">ROUNDUP(SQRT(2*I5*I4/I7),0)</f>
        <v>506</v>
      </c>
      <c r="J9" s="20">
        <f t="shared" si="1"/>
        <v>522</v>
      </c>
      <c r="K9" s="3" t="s">
        <v>17</v>
      </c>
      <c r="L9" s="7" t="str">
        <f ca="1">_xlfn.FORMULATEXT(H9)</f>
        <v>=REDONDEAR.MAS(RAIZ(2*H5*H4/H7);0)</v>
      </c>
    </row>
    <row r="10" spans="6:12" x14ac:dyDescent="0.2">
      <c r="F10" s="37" t="s">
        <v>63</v>
      </c>
      <c r="G10" s="38" t="s">
        <v>16</v>
      </c>
      <c r="H10" s="38">
        <v>495</v>
      </c>
      <c r="I10" s="38">
        <v>1000</v>
      </c>
      <c r="J10" s="38">
        <v>2000</v>
      </c>
    </row>
    <row r="11" spans="6:12" x14ac:dyDescent="0.2">
      <c r="F11" s="4"/>
      <c r="G11" s="5"/>
      <c r="H11" s="6"/>
      <c r="I11" s="6"/>
      <c r="J11" s="6"/>
    </row>
    <row r="12" spans="6:12" x14ac:dyDescent="0.2">
      <c r="F12" s="4" t="s">
        <v>22</v>
      </c>
      <c r="G12" s="5" t="s">
        <v>18</v>
      </c>
      <c r="H12" s="6">
        <f>(H10/2) * H7</f>
        <v>495</v>
      </c>
      <c r="I12" s="6">
        <f t="shared" ref="I12:J12" si="2">(I10/2) * I7</f>
        <v>960</v>
      </c>
      <c r="J12" s="6">
        <f t="shared" si="2"/>
        <v>1800</v>
      </c>
      <c r="L12" s="7" t="str">
        <f t="shared" ref="L12:L15" ca="1" si="3">_xlfn.FORMULATEXT(H12)</f>
        <v>=(H10/2) * H7</v>
      </c>
    </row>
    <row r="13" spans="6:12" x14ac:dyDescent="0.2">
      <c r="F13" s="4" t="s">
        <v>23</v>
      </c>
      <c r="G13" s="5" t="s">
        <v>19</v>
      </c>
      <c r="H13" s="26">
        <f>(H5/H10) * H4</f>
        <v>494.94949494949492</v>
      </c>
      <c r="I13" s="6">
        <f t="shared" ref="I13:J13" si="4">(I5/I10) * I4</f>
        <v>245</v>
      </c>
      <c r="J13" s="6">
        <f t="shared" si="4"/>
        <v>122.5</v>
      </c>
      <c r="L13" s="7" t="str">
        <f t="shared" ca="1" si="3"/>
        <v>=(H5/H10) * H4</v>
      </c>
    </row>
    <row r="14" spans="6:12" x14ac:dyDescent="0.2">
      <c r="F14" s="4" t="s">
        <v>65</v>
      </c>
      <c r="G14" s="5" t="s">
        <v>64</v>
      </c>
      <c r="H14" s="6">
        <f>H5*H6</f>
        <v>50000</v>
      </c>
      <c r="I14" s="6">
        <f t="shared" ref="I14:J14" si="5">I5*I6</f>
        <v>48000</v>
      </c>
      <c r="J14" s="6">
        <f t="shared" si="5"/>
        <v>45000</v>
      </c>
      <c r="L14" s="7" t="str">
        <f t="shared" ca="1" si="3"/>
        <v>=H5*H6</v>
      </c>
    </row>
    <row r="15" spans="6:12" x14ac:dyDescent="0.2">
      <c r="F15" s="18" t="s">
        <v>21</v>
      </c>
      <c r="G15" s="19" t="s">
        <v>20</v>
      </c>
      <c r="H15" s="36">
        <f>SUM(H12:H14)</f>
        <v>50989.949494949498</v>
      </c>
      <c r="I15" s="36">
        <f t="shared" ref="I15:J15" si="6">SUM(I12:I14)</f>
        <v>49205</v>
      </c>
      <c r="J15" s="36">
        <f t="shared" si="6"/>
        <v>46922.5</v>
      </c>
      <c r="L15" s="7" t="str">
        <f t="shared" ca="1" si="3"/>
        <v>=SUMA(H12:H14)</v>
      </c>
    </row>
    <row r="17" spans="6:6" x14ac:dyDescent="0.2">
      <c r="F17" s="32" t="s">
        <v>66</v>
      </c>
    </row>
  </sheetData>
  <conditionalFormatting sqref="H15:J15">
    <cfRule type="top10" dxfId="1" priority="1" bottom="1" rank="1"/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625F5-B38D-4D6B-8139-79BBDB498A8B}">
  <dimension ref="F2:L16"/>
  <sheetViews>
    <sheetView topLeftCell="B1" zoomScale="130" zoomScaleNormal="130" workbookViewId="0">
      <selection activeCell="D22" sqref="D22"/>
    </sheetView>
  </sheetViews>
  <sheetFormatPr baseColWidth="10" defaultRowHeight="15.5" customHeight="1" x14ac:dyDescent="0.2"/>
  <cols>
    <col min="6" max="6" width="24.5" bestFit="1" customWidth="1"/>
    <col min="7" max="7" width="5.1640625" style="2" customWidth="1"/>
    <col min="8" max="10" width="10.6640625" style="1"/>
    <col min="11" max="11" width="10.6640625" style="3"/>
  </cols>
  <sheetData>
    <row r="2" spans="6:12" ht="15.5" customHeight="1" x14ac:dyDescent="0.2">
      <c r="F2" s="4"/>
      <c r="G2" s="5"/>
      <c r="H2" s="39" t="s">
        <v>67</v>
      </c>
      <c r="I2" s="39" t="s">
        <v>68</v>
      </c>
      <c r="J2" s="39" t="s">
        <v>69</v>
      </c>
    </row>
    <row r="3" spans="6:12" ht="15.5" customHeight="1" x14ac:dyDescent="0.2">
      <c r="F3" s="4" t="s">
        <v>70</v>
      </c>
      <c r="G3" s="5" t="s">
        <v>4</v>
      </c>
      <c r="H3" s="6">
        <v>52000</v>
      </c>
      <c r="I3" s="6">
        <v>50000</v>
      </c>
      <c r="J3" s="6">
        <v>45000</v>
      </c>
      <c r="K3" s="3" t="s">
        <v>24</v>
      </c>
    </row>
    <row r="4" spans="6:12" ht="15.5" customHeight="1" x14ac:dyDescent="0.2">
      <c r="F4" s="4" t="s">
        <v>0</v>
      </c>
      <c r="G4" s="5" t="s">
        <v>1</v>
      </c>
      <c r="H4" s="6">
        <v>1200</v>
      </c>
      <c r="I4" s="6">
        <v>1200</v>
      </c>
      <c r="J4" s="6">
        <v>1200</v>
      </c>
      <c r="K4" s="3" t="s">
        <v>2</v>
      </c>
    </row>
    <row r="5" spans="6:12" ht="15.5" customHeight="1" x14ac:dyDescent="0.2">
      <c r="F5" s="4" t="s">
        <v>41</v>
      </c>
      <c r="G5" s="5" t="s">
        <v>7</v>
      </c>
      <c r="H5" s="6">
        <v>500</v>
      </c>
      <c r="I5" s="6">
        <v>500</v>
      </c>
      <c r="J5" s="6">
        <v>500</v>
      </c>
      <c r="K5" s="3" t="s">
        <v>8</v>
      </c>
    </row>
    <row r="6" spans="6:12" ht="15.5" customHeight="1" x14ac:dyDescent="0.2">
      <c r="F6" s="4" t="s">
        <v>71</v>
      </c>
      <c r="G6" s="5" t="s">
        <v>10</v>
      </c>
      <c r="H6" s="6">
        <f>16%*H3</f>
        <v>8320</v>
      </c>
      <c r="I6" s="6">
        <f t="shared" ref="I6:J6" si="0">16%*I3</f>
        <v>8000</v>
      </c>
      <c r="J6" s="6">
        <f t="shared" si="0"/>
        <v>7200</v>
      </c>
      <c r="K6" s="3" t="s">
        <v>11</v>
      </c>
      <c r="L6" s="7" t="str">
        <f ca="1">_xlfn.FORMULATEXT(H6)</f>
        <v>=16%*H3</v>
      </c>
    </row>
    <row r="7" spans="6:12" ht="15.5" customHeight="1" x14ac:dyDescent="0.2">
      <c r="G7"/>
      <c r="H7"/>
      <c r="I7"/>
      <c r="J7"/>
      <c r="K7"/>
    </row>
    <row r="8" spans="6:12" ht="15.5" customHeight="1" x14ac:dyDescent="0.2">
      <c r="F8" s="4" t="s">
        <v>28</v>
      </c>
      <c r="G8" s="40" t="s">
        <v>29</v>
      </c>
      <c r="H8" s="6">
        <f>ROUNDUP(SQRT(2*H4*H5/H6),0)</f>
        <v>13</v>
      </c>
      <c r="I8" s="6">
        <f t="shared" ref="I8" si="1">ROUNDUP(SQRT(2*I4*I5/I6),0)</f>
        <v>13</v>
      </c>
      <c r="J8" s="6">
        <f>ROUNDUP(SQRT(2*J4*J5/J6),0)</f>
        <v>13</v>
      </c>
      <c r="K8" s="3" t="s">
        <v>17</v>
      </c>
      <c r="L8" s="7" t="str">
        <f ca="1">_xlfn.FORMULATEXT(H8)</f>
        <v>=REDONDEAR.MAS(RAIZ(2*H4*H5/H6);0)</v>
      </c>
    </row>
    <row r="9" spans="6:12" ht="15.5" customHeight="1" x14ac:dyDescent="0.2">
      <c r="F9" s="41" t="s">
        <v>72</v>
      </c>
      <c r="G9" s="19" t="s">
        <v>16</v>
      </c>
      <c r="H9" s="19">
        <v>10</v>
      </c>
      <c r="I9" s="19">
        <v>13</v>
      </c>
      <c r="J9" s="19">
        <v>21</v>
      </c>
      <c r="K9" s="3" t="s">
        <v>17</v>
      </c>
    </row>
    <row r="11" spans="6:12" ht="15.5" customHeight="1" x14ac:dyDescent="0.2">
      <c r="F11" s="4" t="s">
        <v>22</v>
      </c>
      <c r="G11" s="5" t="s">
        <v>18</v>
      </c>
      <c r="H11" s="6">
        <f>(H9/2)*H6</f>
        <v>41600</v>
      </c>
      <c r="I11" s="6">
        <f t="shared" ref="I11:J11" si="2">(I9/2)*I6</f>
        <v>52000</v>
      </c>
      <c r="J11" s="6">
        <f t="shared" si="2"/>
        <v>75600</v>
      </c>
      <c r="K11" s="3" t="s">
        <v>24</v>
      </c>
      <c r="L11" s="7" t="str">
        <f t="shared" ref="L11:L14" ca="1" si="3">_xlfn.FORMULATEXT(H11)</f>
        <v>=(H9/2)*H6</v>
      </c>
    </row>
    <row r="12" spans="6:12" ht="15.5" customHeight="1" x14ac:dyDescent="0.2">
      <c r="F12" s="4" t="s">
        <v>23</v>
      </c>
      <c r="G12" s="5" t="s">
        <v>19</v>
      </c>
      <c r="H12" s="6">
        <f>(H4/H9)*H5</f>
        <v>60000</v>
      </c>
      <c r="I12" s="42">
        <f t="shared" ref="I12:J12" si="4">(I4/I9)*I5</f>
        <v>46153.846153846156</v>
      </c>
      <c r="J12" s="42">
        <f t="shared" si="4"/>
        <v>28571.428571428572</v>
      </c>
      <c r="K12" s="3" t="s">
        <v>24</v>
      </c>
      <c r="L12" s="7" t="str">
        <f t="shared" ca="1" si="3"/>
        <v>=(H4/H9)*H5</v>
      </c>
    </row>
    <row r="13" spans="6:12" ht="15.5" customHeight="1" x14ac:dyDescent="0.2">
      <c r="F13" s="44" t="s">
        <v>65</v>
      </c>
      <c r="G13" s="45" t="s">
        <v>64</v>
      </c>
      <c r="H13" s="34">
        <f>H4*H3</f>
        <v>62400000</v>
      </c>
      <c r="I13" s="34">
        <f t="shared" ref="I13:J13" si="5">I4*I3</f>
        <v>60000000</v>
      </c>
      <c r="J13" s="34">
        <f t="shared" si="5"/>
        <v>54000000</v>
      </c>
      <c r="K13" s="3" t="s">
        <v>24</v>
      </c>
      <c r="L13" s="7" t="str">
        <f t="shared" ca="1" si="3"/>
        <v>=H4*H3</v>
      </c>
    </row>
    <row r="14" spans="6:12" ht="15.5" customHeight="1" x14ac:dyDescent="0.2">
      <c r="F14" s="18" t="s">
        <v>74</v>
      </c>
      <c r="G14" s="19" t="s">
        <v>20</v>
      </c>
      <c r="H14" s="43">
        <f>SUM(H11:H13)</f>
        <v>62501600</v>
      </c>
      <c r="I14" s="43">
        <f t="shared" ref="I14:J14" si="6">SUM(I11:I13)</f>
        <v>60098153.846153848</v>
      </c>
      <c r="J14" s="43">
        <f t="shared" si="6"/>
        <v>54104171.428571425</v>
      </c>
      <c r="K14" s="3" t="s">
        <v>24</v>
      </c>
      <c r="L14" s="7" t="str">
        <f t="shared" ca="1" si="3"/>
        <v>=SUMA(H11:H13)</v>
      </c>
    </row>
    <row r="16" spans="6:12" ht="15.5" customHeight="1" x14ac:dyDescent="0.2">
      <c r="F16" s="32" t="s">
        <v>73</v>
      </c>
    </row>
  </sheetData>
  <conditionalFormatting sqref="H14:J14">
    <cfRule type="top10" dxfId="0" priority="1" bottom="1" rank="1"/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8F4F-62F4-4251-843B-0F7912916981}">
  <dimension ref="E2:J20"/>
  <sheetViews>
    <sheetView zoomScale="140" zoomScaleNormal="140" workbookViewId="0">
      <selection activeCell="I21" sqref="I21"/>
    </sheetView>
  </sheetViews>
  <sheetFormatPr baseColWidth="10" defaultRowHeight="15" x14ac:dyDescent="0.2"/>
  <cols>
    <col min="5" max="5" width="10.6640625" style="2"/>
    <col min="6" max="6" width="25.33203125" customWidth="1"/>
    <col min="7" max="7" width="4.1640625" style="1" customWidth="1"/>
    <col min="8" max="8" width="9.83203125" style="47" customWidth="1"/>
    <col min="9" max="9" width="9" style="3" bestFit="1" customWidth="1"/>
  </cols>
  <sheetData>
    <row r="2" spans="5:10" x14ac:dyDescent="0.2">
      <c r="F2" s="4" t="s">
        <v>0</v>
      </c>
      <c r="G2" s="6" t="s">
        <v>1</v>
      </c>
      <c r="H2" s="46">
        <v>100000</v>
      </c>
      <c r="I2" s="3" t="s">
        <v>2</v>
      </c>
    </row>
    <row r="3" spans="5:10" x14ac:dyDescent="0.2">
      <c r="F3" s="4" t="s">
        <v>75</v>
      </c>
      <c r="G3" s="6" t="s">
        <v>76</v>
      </c>
      <c r="H3" s="46">
        <v>550</v>
      </c>
      <c r="I3" s="3" t="s">
        <v>50</v>
      </c>
    </row>
    <row r="4" spans="5:10" x14ac:dyDescent="0.2">
      <c r="F4" s="4" t="s">
        <v>77</v>
      </c>
      <c r="G4" s="6" t="s">
        <v>7</v>
      </c>
      <c r="H4" s="46">
        <v>42</v>
      </c>
      <c r="I4" s="3" t="s">
        <v>8</v>
      </c>
    </row>
    <row r="5" spans="5:10" x14ac:dyDescent="0.2">
      <c r="F5" s="4" t="s">
        <v>42</v>
      </c>
      <c r="G5" s="6" t="s">
        <v>10</v>
      </c>
      <c r="H5" s="46">
        <v>8</v>
      </c>
      <c r="I5" s="3" t="s">
        <v>11</v>
      </c>
    </row>
    <row r="6" spans="5:10" x14ac:dyDescent="0.2">
      <c r="F6" s="4" t="s">
        <v>12</v>
      </c>
      <c r="G6" s="6"/>
      <c r="H6" s="46">
        <v>250</v>
      </c>
      <c r="I6" s="3" t="s">
        <v>13</v>
      </c>
    </row>
    <row r="7" spans="5:10" x14ac:dyDescent="0.2">
      <c r="F7" s="4" t="s">
        <v>48</v>
      </c>
      <c r="G7" s="6" t="s">
        <v>49</v>
      </c>
      <c r="H7" s="46">
        <f>H2/H6</f>
        <v>400</v>
      </c>
      <c r="I7" s="3" t="s">
        <v>50</v>
      </c>
      <c r="J7" s="7" t="str">
        <f ca="1">_xlfn.FORMULATEXT(H7)</f>
        <v>=H2/H6</v>
      </c>
    </row>
    <row r="9" spans="5:10" x14ac:dyDescent="0.2">
      <c r="E9" s="2" t="s">
        <v>14</v>
      </c>
      <c r="F9" s="9" t="s">
        <v>78</v>
      </c>
      <c r="G9" s="10" t="s">
        <v>79</v>
      </c>
      <c r="H9" s="48">
        <f>ROUNDUP(SQRT(2*H2*H4/(H5*(1-H7/H3))), 0)</f>
        <v>1963</v>
      </c>
      <c r="I9" s="11" t="s">
        <v>17</v>
      </c>
      <c r="J9" s="7" t="str">
        <f ca="1">_xlfn.FORMULATEXT(H9)</f>
        <v>=REDONDEAR.MAS(RAIZ(2*H2*H4/(H5*(1-H7/H3))); 0)</v>
      </c>
    </row>
    <row r="12" spans="5:10" x14ac:dyDescent="0.2">
      <c r="E12" s="2" t="s">
        <v>26</v>
      </c>
      <c r="F12" s="4" t="s">
        <v>22</v>
      </c>
      <c r="G12" s="49" t="s">
        <v>18</v>
      </c>
      <c r="H12" s="29">
        <f>(H9/2)*H5*(1-H7/H3)</f>
        <v>2141.4545454545455</v>
      </c>
      <c r="I12" s="3" t="s">
        <v>24</v>
      </c>
      <c r="J12" s="7" t="str">
        <f t="shared" ref="J12:J14" ca="1" si="0">_xlfn.FORMULATEXT(H12)</f>
        <v>=(H9/2)*H5*(1-H7/H3)</v>
      </c>
    </row>
    <row r="13" spans="5:10" x14ac:dyDescent="0.2">
      <c r="F13" s="4" t="s">
        <v>23</v>
      </c>
      <c r="G13" s="49" t="s">
        <v>19</v>
      </c>
      <c r="H13" s="29">
        <f>(H2/H9)*H4</f>
        <v>2139.5822720326032</v>
      </c>
      <c r="I13" s="3" t="s">
        <v>24</v>
      </c>
      <c r="J13" s="7" t="str">
        <f t="shared" ca="1" si="0"/>
        <v>=(H2/H9)*H4</v>
      </c>
    </row>
    <row r="14" spans="5:10" x14ac:dyDescent="0.2">
      <c r="F14" s="9" t="s">
        <v>21</v>
      </c>
      <c r="G14" s="51" t="s">
        <v>20</v>
      </c>
      <c r="H14" s="48">
        <f>SUM(H12:H13)</f>
        <v>4281.0368174871492</v>
      </c>
      <c r="I14" s="50" t="s">
        <v>24</v>
      </c>
      <c r="J14" s="7" t="str">
        <f t="shared" ca="1" si="0"/>
        <v>=SUMA(H12:H13)</v>
      </c>
    </row>
    <row r="17" spans="5:10" x14ac:dyDescent="0.2">
      <c r="E17" s="2" t="s">
        <v>27</v>
      </c>
      <c r="F17" s="9" t="s">
        <v>31</v>
      </c>
      <c r="G17" s="51" t="s">
        <v>32</v>
      </c>
      <c r="H17" s="52">
        <f>H9/H2*H6</f>
        <v>4.9075000000000006</v>
      </c>
      <c r="I17" s="11" t="s">
        <v>33</v>
      </c>
      <c r="J17" s="7" t="str">
        <f ca="1">_xlfn.FORMULATEXT(H17)</f>
        <v>=H9/H2*H6</v>
      </c>
    </row>
    <row r="20" spans="5:10" x14ac:dyDescent="0.2">
      <c r="E20" s="2" t="s">
        <v>30</v>
      </c>
      <c r="F20" s="9" t="s">
        <v>44</v>
      </c>
      <c r="G20" s="51"/>
      <c r="H20" s="52">
        <f>H2/H9</f>
        <v>50.942435048395311</v>
      </c>
      <c r="I20" s="11" t="s">
        <v>36</v>
      </c>
      <c r="J20" s="7" t="str">
        <f ca="1">_xlfn.FORMULATEXT(H20)</f>
        <v>=H2/H9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3EAB-3FF3-4A4C-9DED-7884F80A9183}">
  <dimension ref="B9:J24"/>
  <sheetViews>
    <sheetView zoomScale="110" zoomScaleNormal="110" workbookViewId="0">
      <selection activeCell="E28" sqref="E28"/>
    </sheetView>
  </sheetViews>
  <sheetFormatPr baseColWidth="10" defaultRowHeight="15" x14ac:dyDescent="0.2"/>
  <cols>
    <col min="2" max="2" width="25.83203125" bestFit="1" customWidth="1"/>
    <col min="3" max="3" width="5.1640625" style="1" customWidth="1"/>
    <col min="4" max="4" width="7.5" style="1" customWidth="1"/>
    <col min="5" max="5" width="10.6640625" style="3"/>
    <col min="7" max="7" width="25.83203125" bestFit="1" customWidth="1"/>
    <col min="8" max="8" width="5" style="1" customWidth="1"/>
    <col min="9" max="9" width="7.33203125" style="1" customWidth="1"/>
    <col min="10" max="10" width="10.6640625" style="3"/>
  </cols>
  <sheetData>
    <row r="9" spans="2:10" x14ac:dyDescent="0.2">
      <c r="B9" s="53" t="s">
        <v>80</v>
      </c>
      <c r="G9" s="53" t="s">
        <v>81</v>
      </c>
    </row>
    <row r="10" spans="2:10" x14ac:dyDescent="0.2">
      <c r="B10" s="4" t="s">
        <v>41</v>
      </c>
      <c r="C10" s="6" t="s">
        <v>7</v>
      </c>
      <c r="D10" s="6">
        <v>20</v>
      </c>
      <c r="E10" s="3" t="s">
        <v>8</v>
      </c>
      <c r="G10" s="4" t="s">
        <v>82</v>
      </c>
      <c r="H10" s="6" t="s">
        <v>7</v>
      </c>
      <c r="I10" s="6">
        <v>30</v>
      </c>
      <c r="J10" s="3" t="s">
        <v>8</v>
      </c>
    </row>
    <row r="11" spans="2:10" x14ac:dyDescent="0.2">
      <c r="B11" s="4" t="s">
        <v>61</v>
      </c>
      <c r="C11" s="6" t="s">
        <v>10</v>
      </c>
      <c r="D11" s="54">
        <f>0.02*D12</f>
        <v>6</v>
      </c>
      <c r="E11" s="3" t="s">
        <v>11</v>
      </c>
      <c r="G11" s="4" t="s">
        <v>83</v>
      </c>
      <c r="H11" s="6" t="s">
        <v>76</v>
      </c>
      <c r="I11" s="6">
        <v>180</v>
      </c>
      <c r="J11" s="3" t="s">
        <v>50</v>
      </c>
    </row>
    <row r="12" spans="2:10" x14ac:dyDescent="0.2">
      <c r="B12" s="4" t="s">
        <v>12</v>
      </c>
      <c r="C12" s="6"/>
      <c r="D12" s="6">
        <v>300</v>
      </c>
      <c r="E12" s="3" t="s">
        <v>13</v>
      </c>
      <c r="G12" s="4" t="s">
        <v>61</v>
      </c>
      <c r="H12" s="6" t="s">
        <v>10</v>
      </c>
      <c r="I12" s="54">
        <f>0.02*I13</f>
        <v>6</v>
      </c>
      <c r="J12" s="3" t="s">
        <v>11</v>
      </c>
    </row>
    <row r="13" spans="2:10" x14ac:dyDescent="0.2">
      <c r="B13" s="4" t="s">
        <v>0</v>
      </c>
      <c r="C13" s="6" t="s">
        <v>1</v>
      </c>
      <c r="D13" s="6">
        <v>49200</v>
      </c>
      <c r="E13" s="3" t="s">
        <v>2</v>
      </c>
      <c r="G13" s="4" t="s">
        <v>12</v>
      </c>
      <c r="H13" s="6"/>
      <c r="I13" s="6">
        <v>300</v>
      </c>
      <c r="J13" s="3" t="s">
        <v>13</v>
      </c>
    </row>
    <row r="14" spans="2:10" x14ac:dyDescent="0.2">
      <c r="G14" s="4" t="s">
        <v>0</v>
      </c>
      <c r="H14" s="6" t="s">
        <v>1</v>
      </c>
      <c r="I14" s="6">
        <v>49200</v>
      </c>
      <c r="J14" s="3" t="s">
        <v>2</v>
      </c>
    </row>
    <row r="15" spans="2:10" x14ac:dyDescent="0.2">
      <c r="G15" s="4" t="s">
        <v>48</v>
      </c>
      <c r="H15" s="6" t="s">
        <v>49</v>
      </c>
      <c r="I15" s="6">
        <f>I14/I13</f>
        <v>164</v>
      </c>
      <c r="J15" s="3" t="s">
        <v>50</v>
      </c>
    </row>
    <row r="17" spans="2:10" x14ac:dyDescent="0.2">
      <c r="B17" s="4" t="s">
        <v>84</v>
      </c>
      <c r="C17" s="6" t="s">
        <v>29</v>
      </c>
      <c r="D17" s="6">
        <f>ROUNDUP(SQRT(2*D13*D10/D11),0)</f>
        <v>573</v>
      </c>
      <c r="E17" s="3" t="s">
        <v>17</v>
      </c>
      <c r="G17" s="4" t="s">
        <v>78</v>
      </c>
      <c r="H17" s="6" t="s">
        <v>79</v>
      </c>
      <c r="I17" s="6">
        <f>ROUNDUP(SQRT(2*I14*I10/(I12*(1-I15/I11))),0)</f>
        <v>2353</v>
      </c>
      <c r="J17" s="3" t="s">
        <v>17</v>
      </c>
    </row>
    <row r="19" spans="2:10" x14ac:dyDescent="0.2">
      <c r="B19" s="4" t="s">
        <v>43</v>
      </c>
      <c r="C19" s="6" t="s">
        <v>18</v>
      </c>
      <c r="D19" s="6">
        <f>(D17/2)*D11</f>
        <v>1719</v>
      </c>
      <c r="E19" s="3" t="s">
        <v>24</v>
      </c>
      <c r="G19" s="4" t="s">
        <v>43</v>
      </c>
      <c r="H19" s="6" t="s">
        <v>18</v>
      </c>
      <c r="I19" s="42">
        <f>(I17/2)*I12*(1-I15/I11)</f>
        <v>627.46666666666681</v>
      </c>
      <c r="J19" s="3" t="s">
        <v>24</v>
      </c>
    </row>
    <row r="20" spans="2:10" x14ac:dyDescent="0.2">
      <c r="B20" s="4" t="s">
        <v>23</v>
      </c>
      <c r="C20" s="6" t="s">
        <v>19</v>
      </c>
      <c r="D20" s="42">
        <f>(D13/D17)*D10</f>
        <v>1717.2774869109946</v>
      </c>
      <c r="E20" s="3" t="s">
        <v>24</v>
      </c>
      <c r="G20" s="4" t="s">
        <v>23</v>
      </c>
      <c r="H20" s="6" t="s">
        <v>19</v>
      </c>
      <c r="I20" s="42">
        <f>(I14/I17)*I10</f>
        <v>627.28431789205274</v>
      </c>
      <c r="J20" s="3" t="s">
        <v>24</v>
      </c>
    </row>
    <row r="21" spans="2:10" x14ac:dyDescent="0.2">
      <c r="B21" s="9" t="s">
        <v>21</v>
      </c>
      <c r="C21" s="10" t="s">
        <v>20</v>
      </c>
      <c r="D21" s="10">
        <f>SUM(D19:D20)</f>
        <v>3436.2774869109944</v>
      </c>
      <c r="E21" s="50" t="s">
        <v>24</v>
      </c>
      <c r="G21" s="9" t="s">
        <v>21</v>
      </c>
      <c r="H21" s="10" t="s">
        <v>20</v>
      </c>
      <c r="I21" s="10">
        <f>SUM(I19:I20)</f>
        <v>1254.7509845587197</v>
      </c>
      <c r="J21" s="50" t="s">
        <v>24</v>
      </c>
    </row>
    <row r="24" spans="2:10" x14ac:dyDescent="0.2">
      <c r="G24" s="32" t="s">
        <v>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</vt:lpstr>
      <vt:lpstr>2</vt:lpstr>
      <vt:lpstr>3</vt:lpstr>
      <vt:lpstr>4</vt:lpstr>
      <vt:lpstr>5</vt:lpstr>
      <vt:lpstr>6</vt:lpstr>
      <vt:lpstr>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Triz BB</dc:creator>
  <cp:lastModifiedBy>Nelson Cumpa</cp:lastModifiedBy>
  <dcterms:created xsi:type="dcterms:W3CDTF">2024-03-16T03:31:38Z</dcterms:created>
  <dcterms:modified xsi:type="dcterms:W3CDTF">2026-03-10T15:52:36Z</dcterms:modified>
</cp:coreProperties>
</file>