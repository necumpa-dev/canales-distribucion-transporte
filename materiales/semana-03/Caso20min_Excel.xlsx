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nelsoncumpa/Desktop/DOSCENCIA/03 DIPLOMADO/20251024 FAP/"/>
    </mc:Choice>
  </mc:AlternateContent>
  <xr:revisionPtr revIDLastSave="0" documentId="8_{E543A6B2-BC3A-4C46-A94E-0587AE860DBF}" xr6:coauthVersionLast="46" xr6:coauthVersionMax="46" xr10:uidLastSave="{00000000-0000-0000-0000-000000000000}"/>
  <bookViews>
    <workbookView xWindow="0" yWindow="500" windowWidth="28800" windowHeight="17500" activeTab="1" xr2:uid="{00000000-000D-0000-FFFF-FFFF00000000}"/>
  </bookViews>
  <sheets>
    <sheet name="Parametros" sheetId="1" r:id="rId1"/>
    <sheet name="SKU-A" sheetId="2" r:id="rId2"/>
    <sheet name="SKU-B" sheetId="3" r:id="rId3"/>
    <sheet name="Resumen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3" i="4" s="1"/>
  <c r="B3" i="4"/>
  <c r="B22" i="3"/>
  <c r="I6" i="3"/>
  <c r="B6" i="3"/>
  <c r="C9" i="2"/>
  <c r="E10" i="3"/>
  <c r="E9" i="3"/>
  <c r="E8" i="3"/>
  <c r="E7" i="3"/>
  <c r="B7" i="3"/>
  <c r="E6" i="3"/>
  <c r="B5" i="3"/>
  <c r="C19" i="2"/>
  <c r="C2" i="4" s="1"/>
  <c r="F12" i="2"/>
  <c r="F11" i="2"/>
  <c r="F10" i="2"/>
  <c r="C10" i="2"/>
  <c r="F9" i="2"/>
  <c r="C8" i="2"/>
  <c r="B6" i="1"/>
  <c r="C20" i="2" l="1"/>
  <c r="D2" i="4" s="1"/>
  <c r="B19" i="3"/>
  <c r="E3" i="4" s="1"/>
  <c r="B17" i="3"/>
  <c r="D3" i="4" s="1"/>
  <c r="C25" i="2"/>
  <c r="C18" i="2"/>
  <c r="B15" i="3"/>
  <c r="C22" i="2" l="1"/>
  <c r="C24" i="2" s="1"/>
  <c r="F2" i="4" s="1"/>
  <c r="B2" i="4"/>
  <c r="B20" i="3"/>
  <c r="B23" i="3" s="1"/>
  <c r="B21" i="3"/>
  <c r="F3" i="4" s="1"/>
  <c r="E2" i="4" l="1"/>
  <c r="C23" i="2"/>
  <c r="C26" i="2" s="1"/>
  <c r="G2" i="4" s="1"/>
  <c r="C27" i="2"/>
  <c r="H2" i="4" s="1"/>
  <c r="B24" i="3"/>
  <c r="H3" i="4" s="1"/>
  <c r="G3" i="4"/>
</calcChain>
</file>

<file path=xl/sharedStrings.xml><?xml version="1.0" encoding="utf-8"?>
<sst xmlns="http://schemas.openxmlformats.org/spreadsheetml/2006/main" count="102" uniqueCount="67">
  <si>
    <t>Parametro</t>
  </si>
  <si>
    <t>Valor</t>
  </si>
  <si>
    <t>Nota</t>
  </si>
  <si>
    <t>Costo unitario (C)</t>
  </si>
  <si>
    <t>US$ por unidad</t>
  </si>
  <si>
    <t>Costo de ordenar (S)</t>
  </si>
  <si>
    <t>US$ por pedido</t>
  </si>
  <si>
    <t>h (fracción anual)</t>
  </si>
  <si>
    <t>Costo de mantener sobre C</t>
  </si>
  <si>
    <t>Z (nivel de servicio)</t>
  </si>
  <si>
    <t>95% ≈ 1.65; 99% ≈ 2.33</t>
  </si>
  <si>
    <t>H (costo mantener/año)</t>
  </si>
  <si>
    <t>H = C × h (US$ por unidad/año)</t>
  </si>
  <si>
    <t>Mes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</si>
  <si>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</si>
  <si>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</si>
  <si>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</si>
  <si>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</si>
  <si>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</si>
  <si>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</si>
  <si>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</si>
  <si>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</si>
  <si>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</si>
  <si>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</si>
  <si>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</si>
  <si>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</si>
  <si>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Demanda</t>
  </si>
  <si>
    <t>Promedio mensual</t>
  </si>
  <si>
    <t>Parámetros</t>
  </si>
  <si>
    <t>Desviación estándar (muestral) S</t>
  </si>
  <si>
    <t>C (costo unitario)</t>
  </si>
  <si>
    <t>Demanda anual (D)</t>
  </si>
  <si>
    <t>S (costo ordenar)</t>
  </si>
  <si>
    <t>Lead time (L, meses)</t>
  </si>
  <si>
    <t>h (fracción)</t>
  </si>
  <si>
    <t>H (mantener/año)</t>
  </si>
  <si>
    <t>Z (nivel servicio)</t>
  </si>
  <si>
    <t>EOQ (unidades)</t>
  </si>
  <si>
    <t>SS (stock seguridad)</t>
  </si>
  <si>
    <t>ROP (punto reorden)</t>
  </si>
  <si>
    <t>Inventario promedio (uds)</t>
  </si>
  <si>
    <t>Costo mantener anual ($)</t>
  </si>
  <si>
    <t>COGS ($)</t>
  </si>
  <si>
    <t>Rotación (veces)</t>
  </si>
  <si>
    <t>DOH (días de inventario)</t>
  </si>
  <si>
    <t>SKU</t>
  </si>
  <si>
    <t>EOQ</t>
  </si>
  <si>
    <t>SS</t>
  </si>
  <si>
    <t>ROP</t>
  </si>
  <si>
    <t>Inventario Promedio (uds)</t>
  </si>
  <si>
    <t>Costo Mantener ($)</t>
  </si>
  <si>
    <t>Rotación</t>
  </si>
  <si>
    <t>DOH</t>
  </si>
  <si>
    <t>SKU-A</t>
  </si>
  <si>
    <t>SKU-B</t>
  </si>
  <si>
    <t>Cómo usar este archivo</t>
  </si>
  <si>
    <t>1) Cambia parámetros en la hoja Parametros (C, S, h, Z). H se calcula solo.</t>
  </si>
  <si>
    <t>2) En cada hoja de SKU puedes modificar la demanda y el lead time.</t>
  </si>
  <si>
    <t>3) Los cálculos (EOQ, SS, ROP, costos, rotación, DOH) se actualizan automáticamente.</t>
  </si>
  <si>
    <t>4) Para sensibilidad de nivel de servicio, cambia Z=2.33 y observa SS y ROP.</t>
  </si>
  <si>
    <t>Inventario promedio $</t>
  </si>
  <si>
    <t xml:space="preserve">LLM </t>
  </si>
  <si>
    <t xml:space="preserve">AGENTES </t>
  </si>
  <si>
    <t xml:space="preserve">CHAT GPT / COPILOT / CLAUDE / DEEP SEEK / </t>
  </si>
  <si>
    <t xml:space="preserve">BOT </t>
  </si>
  <si>
    <t>100-250-ARRIBA</t>
  </si>
  <si>
    <t>8-10 DESARROLLO / 1,5 Y 2 $/MES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</si>
</sst>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80A]* #,##0.00_-;\-[$$-80A]* #,##0.00_-;_-[$$-80A]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43" fontId="0" fillId="0" borderId="0" xfId="0" applyNumberFormat="1"/>
    <xf numFmtId="0" fontId="0" fillId="3" borderId="0" xfId="0" applyFill="1"/>
    <xf numFmtId="0" fontId="0" fillId="3" borderId="1" xfId="0" applyFill="1" applyBorder="1" applyAlignment="1"/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1" fillId="3" borderId="0" xfId="0" applyFont="1" applyFill="1"/>
    <xf numFmtId="2" fontId="0" fillId="3" borderId="0" xfId="0" applyNumberFormat="1" applyFill="1"/>
    <xf numFmtId="1" fontId="0" fillId="3" borderId="0" xfId="0" applyNumberFormat="1" applyFill="1"/>
    <xf numFmtId="164" fontId="0" fillId="3" borderId="0" xfId="0" applyNumberFormat="1" applyFill="1"/>
    <xf numFmtId="165" fontId="0" fillId="3" borderId="0" xfId="1" applyNumberFormat="1" applyFont="1" applyFill="1"/>
    <xf numFmtId="43" fontId="0" fillId="3" borderId="0" xfId="0" applyNumberFormat="1" applyFill="1"/>
    <xf numFmtId="0" fontId="0" fillId="3" borderId="1" xfId="0" applyFill="1" applyBorder="1"/>
    <xf numFmtId="0" fontId="1" fillId="5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/>
    <xf numFmtId="9" fontId="0" fillId="3" borderId="0" xfId="0" applyNumberFormat="1" applyFill="1"/>
    <xf numFmtId="0" fontId="0" fillId="6" borderId="1" xfId="0" applyFill="1" applyBorder="1"/>
    <xf numFmtId="9" fontId="0" fillId="6" borderId="1" xfId="0" applyNumberFormat="1" applyFill="1" applyBorder="1"/>
    <xf numFmtId="1" fontId="0" fillId="7" borderId="0" xfId="0" applyNumberFormat="1" applyFill="1"/>
    <xf numFmtId="0" fontId="0" fillId="7" borderId="0" xfId="0" applyFill="1"/>
    <xf numFmtId="1" fontId="0" fillId="8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999067</xdr:colOff>
      <xdr:row>17</xdr:row>
      <xdr:rowOff>150553</xdr:rowOff>
    </xdr:from>
    <xdr:to>
      <xdr:col>6</xdr:col>
      <xdr:colOff>211667</xdr:colOff>
      <xdr:row>19</xdr:row>
      <xdr:rowOff>20102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ABC8C1-0BBB-FA46-AFA1-3208ED4D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1474" y="2784627"/>
          <a:ext cx="941212" cy="245845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999538</xdr:colOff>
      <xdr:row>19</xdr:row>
      <xdr:rowOff>35276</xdr:rowOff>
    </xdr:from>
    <xdr:to>
      <xdr:col>6</xdr:col>
      <xdr:colOff>313753</xdr:colOff>
      <xdr:row>20</xdr:row>
      <xdr:rowOff>66320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FC926-28E7-D448-8651-E2E0CEA81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1945" y="3045646"/>
          <a:ext cx="1042827" cy="219193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999538</xdr:colOff>
      <xdr:row>16</xdr:row>
      <xdr:rowOff>47037</xdr:rowOff>
    </xdr:from>
    <xdr:to>
      <xdr:col>5</xdr:col>
      <xdr:colOff>493889</xdr:colOff>
      <xdr:row>17</xdr:row>
      <xdr:rowOff>112296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329FA2-244E-854D-BB75-46BD311CE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1945" y="2492963"/>
          <a:ext cx="611481" cy="25340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990440</xdr:colOff>
      <xdr:row>20</xdr:row>
      <xdr:rowOff>167736</xdr:rowOff>
    </xdr:from>
    <xdr:to>
      <xdr:col>5</xdr:col>
      <xdr:colOff>463270</xdr:colOff>
      <xdr:row>22</xdr:row>
      <xdr:rowOff>17656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5399BC-5B4D-DE4E-B5A5-7EC2882A9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4654" y="3426604"/>
          <a:ext cx="591069" cy="233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0</xdr:colOff>
      <xdr:row>6</xdr:row>
      <xdr:rowOff>191698</xdr:rowOff>
    </xdr:from>
    <xdr:to>
      <xdr:col>8</xdr:col>
      <xdr:colOff>451290</xdr:colOff>
      <xdr:row>9</xdr:row>
      <xdr:rowOff>106006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030151-4C93-A04E-9F59-EE9C44F54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6541" y="766792"/>
          <a:ext cx="1058334" cy="489403"/>
        </a:xfrm>
        <a:prstGeom prst="rect">
          <a:avLst/>
        </a:prstGeom>
        <a:solidFill>
          <a:schemeClr val="tx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397526</xdr:colOff>
      <xdr:row>14</xdr:row>
      <xdr:rowOff>43949</xdr:rowOff>
    </xdr:from>
    <xdr:to>
      <xdr:col>4</xdr:col>
      <xdr:colOff>217323</xdr:colOff>
      <xdr:row>15</xdr:row>
      <xdr:rowOff>106394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9FC320-D9DE-7745-BD7F-DB55F193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6282" y="2681174"/>
          <a:ext cx="937883" cy="2508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3</xdr:col>
      <xdr:colOff>397997</xdr:colOff>
      <xdr:row>15</xdr:row>
      <xdr:rowOff>170181</xdr:rowOff>
    </xdr:from>
    <xdr:to>
      <xdr:col>4</xdr:col>
      <xdr:colOff>319409</xdr:colOff>
      <xdr:row>17</xdr:row>
      <xdr:rowOff>11924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C6A277-6D5C-E749-A987-1444B7A85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6753" y="2995779"/>
          <a:ext cx="1039498" cy="218489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3</xdr:col>
      <xdr:colOff>404074</xdr:colOff>
      <xdr:row>12</xdr:row>
      <xdr:rowOff>133685</xdr:rowOff>
    </xdr:from>
    <xdr:to>
      <xdr:col>3</xdr:col>
      <xdr:colOff>1016664</xdr:colOff>
      <xdr:row>14</xdr:row>
      <xdr:rowOff>11769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B134F1-4A20-144E-9E48-2BBC0758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2830" y="2394163"/>
          <a:ext cx="612590" cy="254831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3</xdr:col>
      <xdr:colOff>388899</xdr:colOff>
      <xdr:row>17</xdr:row>
      <xdr:rowOff>70804</xdr:rowOff>
    </xdr:from>
    <xdr:to>
      <xdr:col>3</xdr:col>
      <xdr:colOff>979968</xdr:colOff>
      <xdr:row>18</xdr:row>
      <xdr:rowOff>113620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43ED7F-C3BE-B34B-8E61-ED7014BF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7655" y="3273148"/>
          <a:ext cx="591069" cy="231190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397933</xdr:colOff>
      <xdr:row>4</xdr:row>
      <xdr:rowOff>42334</xdr:rowOff>
    </xdr:from>
    <xdr:to>
      <xdr:col>7</xdr:col>
      <xdr:colOff>237067</xdr:colOff>
      <xdr:row>6</xdr:row>
      <xdr:rowOff>142270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3BC88F-C589-C541-AA94-D44723FE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40400" y="821267"/>
          <a:ext cx="1058334" cy="489403"/>
        </a:xfrm>
        <a:prstGeom prst="rect">
          <a:avLst/>
        </a:prstGeom>
        <a:solidFill>
          <a:schemeClr val="tx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50" workbookViewId="0"/>
  </sheetViews>
  <sheetFormatPr baseColWidth="10" defaultColWidth="8.83203125" defaultRowHeight="15" x14ac:dyDescent="0.2"/>
  <cols>
    <col min="1" max="1" width="24" customWidth="1"/>
    <col min="2" max="2" width="16" customWidth="1"/>
    <col min="3" max="3" width="4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50</v>
      </c>
      <c r="C2" t="s">
        <v>4</v>
      </c>
    </row>
    <row r="3" spans="1:3" x14ac:dyDescent="0.2">
      <c r="A3" t="s">
        <v>5</v>
      </c>
      <c r="B3">
        <v>200</v>
      </c>
      <c r="C3" t="s">
        <v>6</v>
      </c>
    </row>
    <row r="4" spans="1:3" x14ac:dyDescent="0.2">
      <c r="A4" t="s">
        <v>7</v>
      </c>
      <c r="B4">
        <v>0.2</v>
      </c>
      <c r="C4" t="s">
        <v>8</v>
      </c>
    </row>
    <row r="5" spans="1:3" x14ac:dyDescent="0.2">
      <c r="A5" t="s">
        <v>9</v>
      </c>
      <c r="B5">
        <v>1.65</v>
      </c>
      <c r="C5" t="s">
        <v>10</v>
      </c>
    </row>
    <row r="6" spans="1:3" x14ac:dyDescent="0.2">
      <c r="A6" t="s">
        <v>11</v>
      </c>
      <c r="B6">
        <f>B2*B4</f>
        <v>10</v>
      </c>
      <c r="C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27"/>
  <sheetViews>
    <sheetView tabSelected="1" topLeftCell="A6" zoomScale="136" workbookViewId="0">
      <selection activeCell="C27" sqref="C27"/>
    </sheetView>
  </sheetViews>
  <sheetFormatPr baseColWidth="10" defaultColWidth="8.83203125" defaultRowHeight="15" x14ac:dyDescent="0.2"/>
  <cols>
    <col min="1" max="1" width="8.83203125" style="9"/>
    <col min="2" max="2" width="26.6640625" style="9" bestFit="1" customWidth="1"/>
    <col min="3" max="3" width="13.6640625" style="9" bestFit="1" customWidth="1"/>
    <col min="4" max="4" width="8" style="9" customWidth="1"/>
    <col min="5" max="5" width="14.6640625" style="9" bestFit="1" customWidth="1"/>
    <col min="6" max="14" width="8" style="9" customWidth="1"/>
    <col min="15" max="16384" width="8.83203125" style="9"/>
  </cols>
  <sheetData>
    <row r="4" spans="2:15" x14ac:dyDescent="0.2">
      <c r="B4" s="22" t="s">
        <v>13</v>
      </c>
      <c r="C4" s="22" t="s">
        <v>14</v>
      </c>
      <c r="D4" s="22" t="s">
        <v>15</v>
      </c>
      <c r="E4" s="22" t="s">
        <v>16</v>
      </c>
      <c r="F4" s="22" t="s">
        <v>17</v>
      </c>
      <c r="G4" s="22" t="s">
        <v>18</v>
      </c>
      <c r="H4" s="22" t="s">
        <v>19</v>
      </c>
      <c r="I4" s="22" t="s">
        <v>20</v>
      </c>
      <c r="J4" s="22" t="s">
        <v>21</v>
      </c>
      <c r="K4" s="22" t="s">
        <v>22</v>
      </c>
      <c r="L4" s="22" t="s">
        <v>23</v>
      </c>
      <c r="M4" s="22" t="s">
        <v>24</v>
      </c>
      <c r="N4" s="22" t="s">
        <v>25</v>
      </c>
    </row>
    <row r="5" spans="2:15" x14ac:dyDescent="0.2">
      <c r="B5" s="21" t="s">
        <v>26</v>
      </c>
      <c r="C5" s="12">
        <v>120</v>
      </c>
      <c r="D5" s="12">
        <v>100</v>
      </c>
      <c r="E5" s="12">
        <v>140</v>
      </c>
      <c r="F5" s="12">
        <v>80</v>
      </c>
      <c r="G5" s="12">
        <v>160</v>
      </c>
      <c r="H5" s="12">
        <v>100</v>
      </c>
      <c r="I5" s="12">
        <v>130</v>
      </c>
      <c r="J5" s="12">
        <v>115</v>
      </c>
      <c r="K5" s="12">
        <v>98</v>
      </c>
      <c r="L5" s="12">
        <v>145</v>
      </c>
      <c r="M5" s="12">
        <v>135</v>
      </c>
      <c r="N5" s="12">
        <v>110</v>
      </c>
      <c r="O5" s="23"/>
    </row>
    <row r="8" spans="2:15" x14ac:dyDescent="0.2">
      <c r="B8" s="15" t="s">
        <v>27</v>
      </c>
      <c r="C8" s="16">
        <f>AVERAGE(C5:N5)</f>
        <v>119.41666666666667</v>
      </c>
      <c r="E8" s="15" t="s">
        <v>28</v>
      </c>
      <c r="F8" s="15" t="s">
        <v>1</v>
      </c>
    </row>
    <row r="9" spans="2:15" x14ac:dyDescent="0.2">
      <c r="B9" s="15" t="s">
        <v>29</v>
      </c>
      <c r="C9" s="16">
        <f>STDEV(C5:N5)</f>
        <v>23.267059560805265</v>
      </c>
      <c r="E9" s="9" t="s">
        <v>30</v>
      </c>
      <c r="F9" s="9">
        <f>Parametros!B2</f>
        <v>50</v>
      </c>
    </row>
    <row r="10" spans="2:15" x14ac:dyDescent="0.2">
      <c r="B10" s="15" t="s">
        <v>31</v>
      </c>
      <c r="C10" s="16">
        <f>SUM(C5:N5)</f>
        <v>1433</v>
      </c>
      <c r="E10" s="9" t="s">
        <v>32</v>
      </c>
      <c r="F10" s="9">
        <f>Parametros!B3</f>
        <v>200</v>
      </c>
    </row>
    <row r="11" spans="2:15" x14ac:dyDescent="0.2">
      <c r="B11" s="15" t="s">
        <v>33</v>
      </c>
      <c r="C11" s="16">
        <v>1</v>
      </c>
      <c r="E11" s="9" t="s">
        <v>34</v>
      </c>
      <c r="F11" s="9">
        <f>Parametros!B4</f>
        <v>0.2</v>
      </c>
    </row>
    <row r="12" spans="2:15" x14ac:dyDescent="0.2">
      <c r="E12" s="9" t="s">
        <v>35</v>
      </c>
      <c r="F12" s="17">
        <f>Parametros!B6</f>
        <v>10</v>
      </c>
    </row>
    <row r="13" spans="2:15" x14ac:dyDescent="0.2">
      <c r="E13" s="9" t="s">
        <v>36</v>
      </c>
      <c r="F13" s="26">
        <v>1.66</v>
      </c>
      <c r="G13" s="27">
        <v>0.95</v>
      </c>
    </row>
    <row r="14" spans="2:15" x14ac:dyDescent="0.2">
      <c r="G14" s="25">
        <v>1</v>
      </c>
    </row>
    <row r="18" spans="2:12" x14ac:dyDescent="0.2">
      <c r="B18" s="15" t="s">
        <v>37</v>
      </c>
      <c r="C18" s="24">
        <f>ROUND(SQRT(2*C10*F10/F12),0)</f>
        <v>239</v>
      </c>
    </row>
    <row r="19" spans="2:12" x14ac:dyDescent="0.2">
      <c r="B19" s="15" t="s">
        <v>38</v>
      </c>
      <c r="C19" s="28">
        <f>+F13*C9*C11^(1/2)</f>
        <v>38.623318870936735</v>
      </c>
      <c r="D19" s="17"/>
    </row>
    <row r="20" spans="2:12" x14ac:dyDescent="0.2">
      <c r="B20" s="15" t="s">
        <v>39</v>
      </c>
      <c r="C20" s="30">
        <f>+C8*C11+C19</f>
        <v>158.0399855376034</v>
      </c>
    </row>
    <row r="21" spans="2:12" x14ac:dyDescent="0.2">
      <c r="B21" s="15"/>
    </row>
    <row r="22" spans="2:12" x14ac:dyDescent="0.2">
      <c r="B22" s="15" t="s">
        <v>40</v>
      </c>
      <c r="C22" s="17">
        <f>C18/2 + C19</f>
        <v>158.12331887093674</v>
      </c>
    </row>
    <row r="23" spans="2:12" x14ac:dyDescent="0.2">
      <c r="B23" s="15" t="s">
        <v>60</v>
      </c>
      <c r="C23" s="18">
        <f>+C22*F9</f>
        <v>7906.1659435468373</v>
      </c>
    </row>
    <row r="24" spans="2:12" x14ac:dyDescent="0.2">
      <c r="B24" s="15" t="s">
        <v>41</v>
      </c>
      <c r="C24" s="18">
        <f>C22*F12</f>
        <v>1581.2331887093674</v>
      </c>
      <c r="J24" s="29" t="s">
        <v>61</v>
      </c>
      <c r="L24" s="9" t="s">
        <v>65</v>
      </c>
    </row>
    <row r="25" spans="2:12" x14ac:dyDescent="0.2">
      <c r="B25" s="15" t="s">
        <v>42</v>
      </c>
      <c r="C25" s="18">
        <f>+C10*F9</f>
        <v>71650</v>
      </c>
      <c r="J25" s="29" t="s">
        <v>62</v>
      </c>
      <c r="L25" s="9" t="s">
        <v>66</v>
      </c>
    </row>
    <row r="26" spans="2:12" x14ac:dyDescent="0.2">
      <c r="B26" s="15" t="s">
        <v>43</v>
      </c>
      <c r="C26" s="19">
        <f>+C25/C23</f>
        <v>9.0625469426785923</v>
      </c>
      <c r="J26" s="9" t="s">
        <v>63</v>
      </c>
    </row>
    <row r="27" spans="2:12" x14ac:dyDescent="0.2">
      <c r="B27" s="15" t="s">
        <v>44</v>
      </c>
      <c r="C27" s="20">
        <f>365 / C26</f>
        <v>40.275653445842231</v>
      </c>
      <c r="J27" s="9" t="s">
        <v>64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zoomScale="150" workbookViewId="0">
      <selection activeCell="H22" sqref="H22"/>
    </sheetView>
  </sheetViews>
  <sheetFormatPr baseColWidth="10" defaultColWidth="8.83203125" defaultRowHeight="15" x14ac:dyDescent="0.2"/>
  <cols>
    <col min="1" max="1" width="27.1640625" customWidth="1"/>
    <col min="2" max="2" width="12.1640625" customWidth="1"/>
    <col min="3" max="3" width="8" customWidth="1"/>
    <col min="4" max="4" width="14.6640625" bestFit="1" customWidth="1"/>
    <col min="5" max="13" width="8" customWidth="1"/>
  </cols>
  <sheetData>
    <row r="1" spans="1:13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 x14ac:dyDescent="0.2">
      <c r="A2" t="s">
        <v>26</v>
      </c>
      <c r="B2">
        <v>60</v>
      </c>
      <c r="C2">
        <v>55</v>
      </c>
      <c r="D2">
        <v>70</v>
      </c>
      <c r="E2">
        <v>65</v>
      </c>
      <c r="F2">
        <v>80</v>
      </c>
      <c r="G2">
        <v>75</v>
      </c>
      <c r="H2">
        <v>68</v>
      </c>
      <c r="I2">
        <v>90</v>
      </c>
      <c r="J2">
        <v>72</v>
      </c>
      <c r="K2">
        <v>85</v>
      </c>
      <c r="L2">
        <v>78</v>
      </c>
      <c r="M2">
        <v>69</v>
      </c>
    </row>
    <row r="5" spans="1:13" x14ac:dyDescent="0.2">
      <c r="A5" s="3" t="s">
        <v>27</v>
      </c>
      <c r="B5">
        <f>AVERAGE(B2:M2)</f>
        <v>72.25</v>
      </c>
      <c r="D5" s="3" t="s">
        <v>28</v>
      </c>
      <c r="E5" s="3" t="s">
        <v>1</v>
      </c>
    </row>
    <row r="6" spans="1:13" x14ac:dyDescent="0.2">
      <c r="A6" s="3" t="s">
        <v>29</v>
      </c>
      <c r="B6" s="4">
        <f>STDEV(B2:M2)</f>
        <v>10.055527652174019</v>
      </c>
      <c r="D6" t="s">
        <v>30</v>
      </c>
      <c r="E6">
        <f>Parametros!B2</f>
        <v>50</v>
      </c>
      <c r="I6">
        <f>+(((B2-B5)^2+(C2-B5)^2+(D2-B5)^2+(E2-B5)^2+(F2-B5)^2+(G2-B5)^2+(H2-B5)^2+(I2-B5)^2+(J2-B5)^2+(K2-B5)^2+(L2-B5)^2+(M2-B5)^2)/(12-1))^(1/2)</f>
        <v>10.055527652174019</v>
      </c>
    </row>
    <row r="7" spans="1:13" x14ac:dyDescent="0.2">
      <c r="A7" s="3" t="s">
        <v>31</v>
      </c>
      <c r="B7">
        <f>SUM(B2:M2)</f>
        <v>867</v>
      </c>
      <c r="D7" t="s">
        <v>32</v>
      </c>
      <c r="E7">
        <f>Parametros!B3</f>
        <v>200</v>
      </c>
    </row>
    <row r="8" spans="1:13" x14ac:dyDescent="0.2">
      <c r="A8" s="3" t="s">
        <v>33</v>
      </c>
      <c r="B8">
        <v>2</v>
      </c>
      <c r="D8" t="s">
        <v>34</v>
      </c>
      <c r="E8">
        <f>Parametros!B4</f>
        <v>0.2</v>
      </c>
    </row>
    <row r="9" spans="1:13" x14ac:dyDescent="0.2">
      <c r="D9" t="s">
        <v>35</v>
      </c>
      <c r="E9">
        <f>Parametros!B6</f>
        <v>10</v>
      </c>
    </row>
    <row r="10" spans="1:13" x14ac:dyDescent="0.2">
      <c r="D10" t="s">
        <v>36</v>
      </c>
      <c r="E10">
        <f>Parametros!B5</f>
        <v>1.65</v>
      </c>
    </row>
    <row r="15" spans="1:13" x14ac:dyDescent="0.2">
      <c r="A15" s="3" t="s">
        <v>37</v>
      </c>
      <c r="B15">
        <f>ROUND(SQRT(2*B7*E7/E9),0)</f>
        <v>186</v>
      </c>
    </row>
    <row r="16" spans="1:13" x14ac:dyDescent="0.2">
      <c r="A16" s="3" t="s">
        <v>38</v>
      </c>
      <c r="B16" s="5">
        <f>+E10*B6*B8^(1/2)</f>
        <v>23.464094911161606</v>
      </c>
    </row>
    <row r="17" spans="1:2" x14ac:dyDescent="0.2">
      <c r="A17" s="3" t="s">
        <v>39</v>
      </c>
      <c r="B17" s="5">
        <f>+B5*B8+B16</f>
        <v>167.9640949111616</v>
      </c>
    </row>
    <row r="18" spans="1:2" x14ac:dyDescent="0.2">
      <c r="A18" s="3"/>
    </row>
    <row r="19" spans="1:2" x14ac:dyDescent="0.2">
      <c r="A19" s="3" t="s">
        <v>40</v>
      </c>
      <c r="B19" s="5">
        <f>B15/2 + B16</f>
        <v>116.46409491116161</v>
      </c>
    </row>
    <row r="20" spans="1:2" x14ac:dyDescent="0.2">
      <c r="A20" s="3" t="s">
        <v>60</v>
      </c>
      <c r="B20" s="6">
        <f>+B19*E6</f>
        <v>5823.2047455580805</v>
      </c>
    </row>
    <row r="21" spans="1:2" x14ac:dyDescent="0.2">
      <c r="A21" s="3" t="s">
        <v>41</v>
      </c>
      <c r="B21" s="6">
        <f>B19*E9</f>
        <v>1164.640949111616</v>
      </c>
    </row>
    <row r="22" spans="1:2" x14ac:dyDescent="0.2">
      <c r="A22" s="3" t="s">
        <v>42</v>
      </c>
      <c r="B22" s="6">
        <f>+B7*E6</f>
        <v>43350</v>
      </c>
    </row>
    <row r="23" spans="1:2" x14ac:dyDescent="0.2">
      <c r="A23" s="3" t="s">
        <v>43</v>
      </c>
      <c r="B23" s="7">
        <f>+B22/B20</f>
        <v>7.4443544223766516</v>
      </c>
    </row>
    <row r="24" spans="1:2" x14ac:dyDescent="0.2">
      <c r="A24" s="3" t="s">
        <v>44</v>
      </c>
      <c r="B24" s="8">
        <f>365 / B23</f>
        <v>49.030443647720858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zoomScale="125" workbookViewId="0">
      <selection activeCell="D13" sqref="D13"/>
    </sheetView>
  </sheetViews>
  <sheetFormatPr baseColWidth="10" defaultColWidth="8.83203125" defaultRowHeight="15" x14ac:dyDescent="0.2"/>
  <cols>
    <col min="1" max="1" width="12" style="9" customWidth="1"/>
    <col min="2" max="8" width="22" style="9" customWidth="1"/>
    <col min="9" max="16384" width="8.83203125" style="9"/>
  </cols>
  <sheetData>
    <row r="1" spans="1:8" x14ac:dyDescent="0.2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</row>
    <row r="2" spans="1:8" x14ac:dyDescent="0.2">
      <c r="A2" s="10" t="s">
        <v>53</v>
      </c>
      <c r="B2" s="12">
        <f>+'SKU-A'!C18</f>
        <v>239</v>
      </c>
      <c r="C2" s="12">
        <f>+'SKU-A'!C19</f>
        <v>38.623318870936735</v>
      </c>
      <c r="D2" s="13">
        <f>+'SKU-A'!C20</f>
        <v>158.0399855376034</v>
      </c>
      <c r="E2" s="13">
        <f>+'SKU-A'!C22</f>
        <v>158.12331887093674</v>
      </c>
      <c r="F2" s="12">
        <f>+'SKU-A'!C24</f>
        <v>1581.2331887093674</v>
      </c>
      <c r="G2" s="13">
        <f>+'SKU-A'!C26</f>
        <v>9.0625469426785923</v>
      </c>
      <c r="H2" s="14">
        <f>+'SKU-A'!C27</f>
        <v>40.275653445842231</v>
      </c>
    </row>
    <row r="3" spans="1:8" x14ac:dyDescent="0.2">
      <c r="A3" s="10" t="s">
        <v>54</v>
      </c>
      <c r="B3" s="12">
        <f>+'SKU-B'!B15</f>
        <v>186</v>
      </c>
      <c r="C3" s="12">
        <f>+'SKU-B'!B16</f>
        <v>23.464094911161606</v>
      </c>
      <c r="D3" s="13">
        <f>+'SKU-B'!B17</f>
        <v>167.9640949111616</v>
      </c>
      <c r="E3" s="13">
        <f>+'SKU-B'!B19</f>
        <v>116.46409491116161</v>
      </c>
      <c r="F3" s="12">
        <f>+'SKU-B'!B21</f>
        <v>1164.640949111616</v>
      </c>
      <c r="G3" s="13">
        <f>+'SKU-B'!B23</f>
        <v>7.4443544223766516</v>
      </c>
      <c r="H3" s="14">
        <f>+'SKU-B'!B24</f>
        <v>49.030443647720858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s="3" t="s">
        <v>55</v>
      </c>
    </row>
    <row r="2" spans="1:1" x14ac:dyDescent="0.2">
      <c r="A2" t="s">
        <v>56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Parametros</vt:lpstr>
      <vt:lpstr>SKU-A</vt:lpstr>
      <vt:lpstr>SKU-B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Cumpa</cp:lastModifiedBy>
  <dcterms:created xsi:type="dcterms:W3CDTF">2025-09-18T03:25:04Z</dcterms:created>
  <dcterms:modified xsi:type="dcterms:W3CDTF">2025-10-25T12:54:12Z</dcterms:modified>
</cp:coreProperties>
</file>