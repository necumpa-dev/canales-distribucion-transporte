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nelsoncumpa/Desktop/DOSCENCIA/03 DIPLOMADO/20251006 transporte y distribución /Sesión 06/"/>
    </mc:Choice>
  </mc:AlternateContent>
  <xr:revisionPtr revIDLastSave="0" documentId="13_ncr:1_{96F4F75A-93ED-4745-A093-9161F2120FB0}" xr6:coauthVersionLast="46" xr6:coauthVersionMax="46" xr10:uidLastSave="{00000000-0000-0000-0000-000000000000}"/>
  <bookViews>
    <workbookView xWindow="0" yWindow="500" windowWidth="28800" windowHeight="15720" xr2:uid="{0D43BC8E-2B07-4743-B39B-55EFAD750063}"/>
  </bookViews>
  <sheets>
    <sheet name="Hoja1" sheetId="11" r:id="rId1"/>
    <sheet name="Hoja2" sheetId="12" r:id="rId2"/>
    <sheet name="Hoja3" sheetId="13" r:id="rId3"/>
    <sheet name="Hoja4" sheetId="14" r:id="rId4"/>
    <sheet name="Hoja5" sheetId="15" r:id="rId5"/>
    <sheet name="Hoja6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2" l="1"/>
  <c r="I22" i="16"/>
  <c r="I21" i="16"/>
  <c r="I20" i="16"/>
  <c r="I17" i="16"/>
  <c r="I18" i="16"/>
  <c r="I15" i="16"/>
  <c r="I12" i="16"/>
  <c r="I11" i="16"/>
  <c r="I6" i="16"/>
  <c r="I10" i="16" s="1"/>
  <c r="H16" i="15"/>
  <c r="H15" i="15"/>
  <c r="H12" i="15"/>
  <c r="H20" i="14"/>
  <c r="H19" i="14"/>
  <c r="H18" i="14"/>
  <c r="H16" i="14"/>
  <c r="H15" i="14"/>
  <c r="H11" i="14"/>
  <c r="H13" i="14"/>
  <c r="H10" i="14"/>
  <c r="H9" i="14"/>
  <c r="H6" i="14"/>
  <c r="I11" i="13"/>
  <c r="I9" i="13"/>
  <c r="I6" i="13"/>
  <c r="J24" i="12"/>
  <c r="J23" i="12"/>
  <c r="J25" i="12" s="1"/>
  <c r="J15" i="12"/>
  <c r="J13" i="12"/>
  <c r="J10" i="12"/>
  <c r="J9" i="12"/>
  <c r="H12" i="11"/>
  <c r="H10" i="11"/>
  <c r="H7" i="11"/>
  <c r="H6" i="11"/>
  <c r="J16" i="14"/>
  <c r="L25" i="12"/>
  <c r="J6" i="14"/>
  <c r="J15" i="14"/>
  <c r="J18" i="14"/>
  <c r="J19" i="14"/>
  <c r="K9" i="13"/>
  <c r="L13" i="12"/>
  <c r="J11" i="14"/>
  <c r="L15" i="12"/>
  <c r="L9" i="12"/>
  <c r="J13" i="14"/>
  <c r="K11" i="16"/>
  <c r="K6" i="13"/>
  <c r="J9" i="14"/>
  <c r="J6" i="11"/>
  <c r="L16" i="12"/>
  <c r="K11" i="13"/>
  <c r="K17" i="16"/>
  <c r="J10" i="14"/>
  <c r="K21" i="16"/>
  <c r="L10" i="12"/>
  <c r="K22" i="16"/>
  <c r="J15" i="15"/>
  <c r="J20" i="14"/>
  <c r="K18" i="16"/>
  <c r="K20" i="16"/>
  <c r="J12" i="15"/>
  <c r="K10" i="16"/>
  <c r="J7" i="11"/>
  <c r="J12" i="11"/>
  <c r="J10" i="11"/>
  <c r="L23" i="12"/>
  <c r="K15" i="16"/>
  <c r="J16" i="15"/>
  <c r="K12" i="16"/>
  <c r="L24" i="12"/>
</calcChain>
</file>

<file path=xl/sharedStrings.xml><?xml version="1.0" encoding="utf-8"?>
<sst xmlns="http://schemas.openxmlformats.org/spreadsheetml/2006/main" count="220" uniqueCount="93">
  <si>
    <t xml:space="preserve">Demanda diaria </t>
  </si>
  <si>
    <t>d</t>
  </si>
  <si>
    <t>litros/día</t>
  </si>
  <si>
    <t>Desviación estándar</t>
  </si>
  <si>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4"/>
        <color theme="1"/>
        <rFont val="Aptos Narrow"/>
      </rPr>
      <t>d</t>
    </r>
  </si>
  <si>
    <t>Tiempo de reposición</t>
  </si>
  <si>
    <t>L</t>
  </si>
  <si>
    <t>días</t>
  </si>
  <si>
    <t>Nivel de servicio (95%)</t>
  </si>
  <si>
    <t>z</t>
  </si>
  <si>
    <t>a)</t>
  </si>
  <si>
    <t>Punto de reposición</t>
  </si>
  <si>
    <t>b)</t>
  </si>
  <si>
    <t>Inventario de seguridad</t>
  </si>
  <si>
    <t>Punto de reposición (pedido)</t>
  </si>
  <si>
    <t>Pp</t>
  </si>
  <si>
    <t>Ss</t>
  </si>
  <si>
    <t>DEMANDA variable:</t>
  </si>
  <si>
    <t>u</t>
  </si>
  <si>
    <t>Cuando el nivel de inventarios desciende hasta 578 unidades</t>
  </si>
  <si>
    <t>se lanza la orden de pedido.</t>
  </si>
  <si>
    <t>Para protegerse de la variación en la demanda se mantiene</t>
  </si>
  <si>
    <t>un inventario de seguridad de 78 unidades.</t>
  </si>
  <si>
    <t>Demanda diaria</t>
  </si>
  <si>
    <t>u/día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</si>
  <si>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4"/>
        <color theme="1"/>
        <rFont val="Aptos Narrow"/>
      </rPr>
      <t>d</t>
    </r>
  </si>
  <si>
    <t>Costo por pedido</t>
  </si>
  <si>
    <t>S</t>
  </si>
  <si>
    <t>$/pedido</t>
  </si>
  <si>
    <t>Tiempo de entrega</t>
  </si>
  <si>
    <t>Costo de almacenamiento</t>
  </si>
  <si>
    <t>H</t>
  </si>
  <si>
    <t>$/u.año</t>
  </si>
  <si>
    <t>Días disponibles</t>
  </si>
  <si>
    <t>días/año</t>
  </si>
  <si>
    <t>Nivel de servicio (92%)</t>
  </si>
  <si>
    <t>Lote económico de compra</t>
  </si>
  <si>
    <t>EOQ</t>
  </si>
  <si>
    <t>Demanda anual</t>
  </si>
  <si>
    <t>D</t>
  </si>
  <si>
    <t>u/año</t>
  </si>
  <si>
    <t>u/lote</t>
  </si>
  <si>
    <t>Punto de pedido</t>
  </si>
  <si>
    <t>Cuando el nivel de inventarios se reduzca a 6443 unidades,</t>
  </si>
  <si>
    <t>se lanzará un pedido por 7849 unidades al proveedor.</t>
  </si>
  <si>
    <t>Manteniendo un stock de seguridad de 843 unidades para</t>
  </si>
  <si>
    <t>protegerse de las fluctuaciones en la demanda.</t>
  </si>
  <si>
    <t>c)</t>
  </si>
  <si>
    <t>Costo anual de manteniemiento</t>
  </si>
  <si>
    <t>Costo anual de reposición</t>
  </si>
  <si>
    <t>Costo total</t>
  </si>
  <si>
    <t>CM</t>
  </si>
  <si>
    <t>CR</t>
  </si>
  <si>
    <t>CT</t>
  </si>
  <si>
    <t>$/año</t>
  </si>
  <si>
    <t>DEMANDA es variable: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</si>
  <si>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4"/>
        <color theme="1"/>
        <rFont val="Aptos Narrow"/>
      </rPr>
      <t>L</t>
    </r>
  </si>
  <si>
    <t>TIEMPO de reposición es variable:</t>
  </si>
  <si>
    <t xml:space="preserve">Cuando el inventario se reduce a 564 unidades, se </t>
  </si>
  <si>
    <t>realiza una orden de compra.</t>
  </si>
  <si>
    <t>Se mantiene un inventario de seguridad de 164 unidades</t>
  </si>
  <si>
    <t>para protegerse de la variación en el tiempo de entrega.</t>
  </si>
  <si>
    <t>Demanda semanal</t>
  </si>
  <si>
    <t>u/semana</t>
  </si>
  <si>
    <t>Costo unitario</t>
  </si>
  <si>
    <t>C</t>
  </si>
  <si>
    <t>$/u</t>
  </si>
  <si>
    <t>Costo de colocar pedido</t>
  </si>
  <si>
    <t>Costo de mantenimiento</t>
  </si>
  <si>
    <t>$/u-año</t>
  </si>
  <si>
    <t>Nivel de servicio (90%)</t>
  </si>
  <si>
    <t>Cantidad a ordenar</t>
  </si>
  <si>
    <t>Stock de seguridad</t>
  </si>
  <si>
    <t>TIEMPO de entrega es variable:</t>
  </si>
  <si>
    <t>Costo anual de mantenimiento</t>
  </si>
  <si>
    <t>Cuando el nivel de inventarios disminuye a 77 unidades,</t>
  </si>
  <si>
    <t>se realiza un pedido por un lote de 123 unidades.</t>
  </si>
  <si>
    <t>El costo anual por gestión de inventarios asciende a 1915 $.</t>
  </si>
  <si>
    <t>Para evitar problemas por la variabilidad en el tiempo de entrega</t>
  </si>
  <si>
    <t>del proveedor se mantienen 23 unidades en inventario de seguridad.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</si>
  <si>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6"/>
        <color theme="1"/>
        <rFont val="Aptos Narrow"/>
      </rPr>
      <t>d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</si>
  <si>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6"/>
        <color theme="1"/>
        <rFont val="Aptos Narrow"/>
      </rPr>
      <t>L</t>
    </r>
  </si>
  <si>
    <t>DEMANDA y TIEMPO de entrega variables:</t>
  </si>
  <si>
    <t>Demanda y tiempo de entrega son variables:</t>
  </si>
  <si>
    <t>Costo de hacer un pedido</t>
  </si>
  <si>
    <t>Costo de almacén</t>
  </si>
  <si>
    <t>Nivel de seguridad (95%)</t>
  </si>
  <si>
    <t>Punto de reorden</t>
  </si>
  <si>
    <t>Cuando el inventario se reduzca hasta 623 unidades,</t>
  </si>
  <si>
    <t>se realizará un pedido por 224 unidades.</t>
  </si>
  <si>
    <t>Para protegerse de la variación en demanda y tiempo de entrega</t>
  </si>
  <si>
    <t>se mantiene un inventario de seguridad de 248 unidades.</t>
  </si>
  <si>
    <t>El costo anual por la gestión de inventarios asciende 16995 $.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</si>
</sst>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4"/>
      <color theme="1"/>
      <name val="Aptos Narrow"/>
    </font>
    <font>
      <sz val="11"/>
      <color theme="1"/>
      <name val="Aptos Narrow"/>
      <family val="1"/>
      <charset val="2"/>
    </font>
    <font>
      <b/>
      <sz val="11"/>
      <color theme="5" tint="-0.249977111117893"/>
      <name val="Aptos Narrow"/>
      <scheme val="minor"/>
    </font>
    <font>
      <b/>
      <sz val="10"/>
      <color theme="5" tint="-0.249977111117893"/>
      <name val="Aptos Narrow"/>
      <scheme val="minor"/>
    </font>
    <font>
      <b/>
      <sz val="11"/>
      <color theme="1"/>
      <name val="Aptos Narrow"/>
      <scheme val="minor"/>
    </font>
    <font>
      <b/>
      <sz val="9"/>
      <color theme="1"/>
      <name val="Aptos Narrow"/>
      <scheme val="minor"/>
    </font>
    <font>
      <b/>
      <u/>
      <sz val="11"/>
      <color rgb="FFC00000"/>
      <name val="Aptos Narrow"/>
      <scheme val="minor"/>
    </font>
    <font>
      <b/>
      <sz val="11"/>
      <color rgb="FF0070C0"/>
      <name val="Aptos Narrow"/>
      <scheme val="minor"/>
    </font>
    <font>
      <b/>
      <sz val="10"/>
      <color theme="1"/>
      <name val="Aptos Narrow"/>
      <scheme val="minor"/>
    </font>
    <font>
      <b/>
      <u/>
      <sz val="11"/>
      <color theme="5" tint="-0.249977111117893"/>
      <name val="Aptos Narrow"/>
      <scheme val="minor"/>
    </font>
    <font>
      <sz val="11"/>
      <color rgb="FF0070C0"/>
      <name val="Aptos Narrow"/>
      <scheme val="minor"/>
    </font>
    <font>
      <sz val="9"/>
      <color rgb="FF0070C0"/>
      <name val="Aptos Narrow"/>
      <scheme val="minor"/>
    </font>
    <font>
      <b/>
      <sz val="11"/>
      <name val="Aptos Narrow"/>
      <scheme val="minor"/>
    </font>
    <font>
      <b/>
      <sz val="10"/>
      <name val="Aptos Narrow"/>
      <scheme val="minor"/>
    </font>
    <font>
      <sz val="10"/>
      <color theme="1"/>
      <name val="Aptos Narrow"/>
      <scheme val="minor"/>
    </font>
    <font>
      <vertAlign val="subscript"/>
      <sz val="16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0" xfId="0" applyFont="1" applyFill="1"/>
    <xf numFmtId="0" fontId="10" fillId="0" borderId="0" xfId="0" applyFont="1"/>
    <xf numFmtId="1" fontId="8" fillId="2" borderId="1" xfId="0" applyNumberFormat="1" applyFont="1" applyFill="1" applyBorder="1" applyAlignment="1">
      <alignment horizontal="center"/>
    </xf>
    <xf numFmtId="0" fontId="11" fillId="0" borderId="0" xfId="0" applyFont="1"/>
    <xf numFmtId="164" fontId="0" fillId="0" borderId="1" xfId="0" applyNumberForma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0" borderId="0" xfId="0" applyFont="1"/>
    <xf numFmtId="0" fontId="11" fillId="0" borderId="0" xfId="0" applyFont="1" applyFill="1" applyBorder="1"/>
    <xf numFmtId="0" fontId="14" fillId="0" borderId="0" xfId="0" applyFont="1" applyFill="1" applyAlignment="1">
      <alignment horizontal="center"/>
    </xf>
    <xf numFmtId="0" fontId="15" fillId="0" borderId="0" xfId="0" applyFont="1" applyFill="1"/>
    <xf numFmtId="0" fontId="1" fillId="0" borderId="1" xfId="0" applyFont="1" applyBorder="1" applyAlignment="1">
      <alignment horizontal="center"/>
    </xf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2" fillId="2" borderId="0" xfId="0" applyFont="1" applyFill="1"/>
    <xf numFmtId="1" fontId="0" fillId="0" borderId="1" xfId="0" applyNumberFormat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3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mp"/><Relationship Id="rId1" Type="http://schemas.openxmlformats.org/officeDocument/2006/relationships/image" Target="../media/image2.tmp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tmp"/><Relationship Id="rId1" Type="http://schemas.openxmlformats.org/officeDocument/2006/relationships/image" Target="../media/image2.tmp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tmp"/><Relationship Id="rId1" Type="http://schemas.openxmlformats.org/officeDocument/2006/relationships/image" Target="../media/image2.tmp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tmp"/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4</xdr:col>
      <xdr:colOff>81642</xdr:colOff>
      <xdr:row>3</xdr:row>
      <xdr:rowOff>97677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613CA2-C7AD-4FAE-2DC8-9EB03013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"/>
          <a:ext cx="3438070" cy="6510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94570</xdr:rowOff>
    </xdr:from>
    <xdr:to>
      <xdr:col>3</xdr:col>
      <xdr:colOff>136072</xdr:colOff>
      <xdr:row>9</xdr:row>
      <xdr:rowOff>45167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07ECD3-E86D-36E1-25CC-2371271BD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317" b="77233"/>
        <a:stretch/>
      </xdr:blipFill>
      <xdr:spPr>
        <a:xfrm>
          <a:off x="0" y="1096963"/>
          <a:ext cx="2653393" cy="6763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5</xdr:col>
      <xdr:colOff>792048</xdr:colOff>
      <xdr:row>7</xdr:row>
      <xdr:rowOff>139757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8C18C0-DA8D-A1F9-32C1-D874E1FC3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4989000" cy="1488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123825</xdr:rowOff>
    </xdr:from>
    <xdr:to>
      <xdr:col>1</xdr:col>
      <xdr:colOff>650967</xdr:colOff>
      <xdr:row>16</xdr:row>
      <xdr:rowOff>48031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418EA2-7771-4FA7-897B-B7E304B7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8325"/>
          <a:ext cx="1412967" cy="1285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534458</xdr:colOff>
      <xdr:row>5</xdr:row>
      <xdr:rowOff>169505</xdr:rowOff>
    </xdr:from>
    <xdr:to>
      <xdr:col>3</xdr:col>
      <xdr:colOff>370417</xdr:colOff>
      <xdr:row>8</xdr:row>
      <xdr:rowOff>164041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9D835B-9DAF-4A3C-9407-D07A1D09E1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87" r="32971" b="58455"/>
        <a:stretch/>
      </xdr:blipFill>
      <xdr:spPr>
        <a:xfrm>
          <a:off x="534458" y="1164338"/>
          <a:ext cx="2344209" cy="5448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4</xdr:col>
      <xdr:colOff>629709</xdr:colOff>
      <xdr:row>3</xdr:row>
      <xdr:rowOff>177826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23D1A7-8B2A-8062-83B6-B19B0F535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3974041" cy="7281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</xdr:col>
      <xdr:colOff>577702</xdr:colOff>
      <xdr:row>15</xdr:row>
      <xdr:rowOff>44450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55E5F2-F314-45E6-B141-4737F564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4500"/>
          <a:ext cx="1339702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21168</xdr:colOff>
      <xdr:row>0</xdr:row>
      <xdr:rowOff>5294</xdr:rowOff>
    </xdr:from>
    <xdr:to>
      <xdr:col>4</xdr:col>
      <xdr:colOff>555415</xdr:colOff>
      <xdr:row>6</xdr:row>
      <xdr:rowOff>137585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34C2A0F-E9B6-689B-B9E3-3092B788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8" y="5294"/>
          <a:ext cx="3878580" cy="1222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156884</xdr:rowOff>
    </xdr:from>
    <xdr:to>
      <xdr:col>2</xdr:col>
      <xdr:colOff>431427</xdr:colOff>
      <xdr:row>8</xdr:row>
      <xdr:rowOff>258919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D9B7CB-C8CE-4DAE-8C9E-EA2D7F3C6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257" b="27634"/>
        <a:stretch/>
      </xdr:blipFill>
      <xdr:spPr>
        <a:xfrm>
          <a:off x="0" y="1232649"/>
          <a:ext cx="2112309" cy="4606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49893</xdr:colOff>
      <xdr:row>4</xdr:row>
      <xdr:rowOff>101095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01668E-9BFD-D302-B541-F4F9474F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245429" cy="826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152400</xdr:rowOff>
    </xdr:from>
    <xdr:to>
      <xdr:col>1</xdr:col>
      <xdr:colOff>577702</xdr:colOff>
      <xdr:row>14</xdr:row>
      <xdr:rowOff>106891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F747B7-EDA8-42F2-BD9F-76742C364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76400"/>
          <a:ext cx="1339702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3</xdr:colOff>
      <xdr:row>0</xdr:row>
      <xdr:rowOff>0</xdr:rowOff>
    </xdr:from>
    <xdr:to>
      <xdr:col>5</xdr:col>
      <xdr:colOff>201084</xdr:colOff>
      <xdr:row>6</xdr:row>
      <xdr:rowOff>103982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DC2B48-BCE8-CBEA-2825-D1E497A74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4381498" cy="127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B5BE-6283-4100-A197-F3F217BFFE0B}">
  <dimension ref="E1:J18"/>
  <sheetViews>
    <sheetView tabSelected="1" zoomScale="140" zoomScaleNormal="140" workbookViewId="0">
      <selection activeCell="H12" sqref="H12"/>
    </sheetView>
  </sheetViews>
  <sheetFormatPr baseColWidth="10" defaultRowHeight="15" x14ac:dyDescent="0.2"/>
  <cols>
    <col min="5" max="5" width="4.6640625" customWidth="1"/>
    <col min="6" max="6" width="26.6640625" customWidth="1"/>
    <col min="7" max="7" width="4.1640625" style="1" customWidth="1"/>
    <col min="8" max="8" width="6.5" style="1" customWidth="1"/>
    <col min="9" max="9" width="11" style="2"/>
  </cols>
  <sheetData>
    <row r="1" spans="5:10" x14ac:dyDescent="0.2">
      <c r="F1" s="14" t="s">
        <v>17</v>
      </c>
    </row>
    <row r="3" spans="5:10" x14ac:dyDescent="0.2">
      <c r="F3" s="3" t="s">
        <v>0</v>
      </c>
      <c r="G3" s="4" t="s">
        <v>1</v>
      </c>
      <c r="H3" s="4">
        <v>50</v>
      </c>
      <c r="I3" s="2" t="s">
        <v>2</v>
      </c>
    </row>
    <row r="4" spans="5:10" ht="16" x14ac:dyDescent="0.25">
      <c r="F4" s="3" t="s">
        <v>3</v>
      </c>
      <c r="G4" s="5" t="s">
        <v>4</v>
      </c>
      <c r="H4" s="4">
        <v>15</v>
      </c>
      <c r="I4" s="2" t="s">
        <v>2</v>
      </c>
    </row>
    <row r="5" spans="5:10" x14ac:dyDescent="0.2">
      <c r="F5" s="3" t="s">
        <v>5</v>
      </c>
      <c r="G5" s="4" t="s">
        <v>6</v>
      </c>
      <c r="H5" s="4">
        <v>10</v>
      </c>
      <c r="I5" s="2" t="s">
        <v>7</v>
      </c>
    </row>
    <row r="6" spans="5:10" x14ac:dyDescent="0.2">
      <c r="F6" s="3" t="s">
        <v>8</v>
      </c>
      <c r="G6" s="4" t="s">
        <v>9</v>
      </c>
      <c r="H6" s="4">
        <f>NORMSINV(95%)</f>
        <v>1.6448536269514715</v>
      </c>
      <c r="J6" s="7" t="str">
        <f ca="1">_xlfn.FORMULATEXT(H6)</f>
        <v>=DISTR.NORM.ESTAND.INV(95%)</v>
      </c>
    </row>
    <row r="7" spans="5:10" x14ac:dyDescent="0.2">
      <c r="G7" s="4" t="s">
        <v>9</v>
      </c>
      <c r="H7" s="4">
        <f>_xlfn.NORM.S.INV(95%)</f>
        <v>1.6448536269514715</v>
      </c>
      <c r="J7" s="7" t="str">
        <f ca="1">_xlfn.FORMULATEXT(H7)</f>
        <v>=INV.NORM.ESTAND(95%)</v>
      </c>
    </row>
    <row r="10" spans="5:10" x14ac:dyDescent="0.2">
      <c r="E10" s="8" t="s">
        <v>10</v>
      </c>
      <c r="F10" s="11" t="s">
        <v>14</v>
      </c>
      <c r="G10" s="12" t="s">
        <v>15</v>
      </c>
      <c r="H10" s="12">
        <f>H3*H5 + H6*H4*SQRT(H5)</f>
        <v>578.02225818133354</v>
      </c>
      <c r="I10" s="13" t="s">
        <v>18</v>
      </c>
      <c r="J10" s="7" t="str">
        <f ca="1">_xlfn.FORMULATEXT(H10)</f>
        <v>=H3*H5 + H6*H4*RAIZ(H5)</v>
      </c>
    </row>
    <row r="11" spans="5:10" x14ac:dyDescent="0.2">
      <c r="E11" s="8"/>
      <c r="F11" s="8"/>
      <c r="G11" s="10"/>
      <c r="H11" s="10"/>
      <c r="I11" s="9"/>
    </row>
    <row r="12" spans="5:10" x14ac:dyDescent="0.2">
      <c r="E12" s="8" t="s">
        <v>12</v>
      </c>
      <c r="F12" s="11" t="s">
        <v>13</v>
      </c>
      <c r="G12" s="12" t="s">
        <v>16</v>
      </c>
      <c r="H12" s="15">
        <f>H6*H4*SQRT(H5)</f>
        <v>78.022258181333569</v>
      </c>
      <c r="I12" s="13" t="s">
        <v>18</v>
      </c>
      <c r="J12" s="7" t="str">
        <f ca="1">_xlfn.FORMULATEXT(H12)</f>
        <v>=H6*H4*RAIZ(H5)</v>
      </c>
    </row>
    <row r="15" spans="5:10" x14ac:dyDescent="0.2">
      <c r="F15" s="16" t="s">
        <v>19</v>
      </c>
    </row>
    <row r="16" spans="5:10" x14ac:dyDescent="0.2">
      <c r="F16" s="16" t="s">
        <v>20</v>
      </c>
    </row>
    <row r="17" spans="6:6" x14ac:dyDescent="0.2">
      <c r="F17" s="16" t="s">
        <v>21</v>
      </c>
    </row>
    <row r="18" spans="6:6" x14ac:dyDescent="0.2">
      <c r="F18" s="16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86B5-B924-4C31-A163-8D571E1B4537}">
  <dimension ref="G1:L25"/>
  <sheetViews>
    <sheetView zoomScale="140" zoomScaleNormal="140" workbookViewId="0">
      <selection activeCell="E11" sqref="E11"/>
    </sheetView>
  </sheetViews>
  <sheetFormatPr baseColWidth="10" defaultRowHeight="15" x14ac:dyDescent="0.2"/>
  <cols>
    <col min="7" max="7" width="4.33203125" customWidth="1"/>
    <col min="8" max="8" width="26.83203125" customWidth="1"/>
    <col min="9" max="9" width="5.1640625" style="1" customWidth="1"/>
    <col min="10" max="10" width="10.6640625" style="1" customWidth="1"/>
    <col min="11" max="11" width="8" style="2" customWidth="1"/>
  </cols>
  <sheetData>
    <row r="1" spans="7:12" x14ac:dyDescent="0.2">
      <c r="H1" s="19" t="s">
        <v>55</v>
      </c>
    </row>
    <row r="3" spans="7:12" x14ac:dyDescent="0.2">
      <c r="H3" s="3" t="s">
        <v>23</v>
      </c>
      <c r="I3" s="4" t="s">
        <v>1</v>
      </c>
      <c r="J3" s="4">
        <v>1400</v>
      </c>
      <c r="K3" s="2" t="s">
        <v>24</v>
      </c>
    </row>
    <row r="4" spans="7:12" ht="16" x14ac:dyDescent="0.25">
      <c r="H4" s="3" t="s">
        <v>3</v>
      </c>
      <c r="I4" s="5" t="s">
        <v>25</v>
      </c>
      <c r="J4" s="4">
        <v>300</v>
      </c>
      <c r="K4" s="2" t="s">
        <v>24</v>
      </c>
    </row>
    <row r="5" spans="7:12" x14ac:dyDescent="0.2">
      <c r="H5" s="3" t="s">
        <v>26</v>
      </c>
      <c r="I5" s="4" t="s">
        <v>27</v>
      </c>
      <c r="J5" s="4">
        <v>40</v>
      </c>
      <c r="K5" s="2" t="s">
        <v>28</v>
      </c>
    </row>
    <row r="6" spans="7:12" x14ac:dyDescent="0.2">
      <c r="H6" s="3" t="s">
        <v>29</v>
      </c>
      <c r="I6" s="4" t="s">
        <v>6</v>
      </c>
      <c r="J6" s="4">
        <v>4</v>
      </c>
      <c r="K6" s="2" t="s">
        <v>7</v>
      </c>
    </row>
    <row r="7" spans="7:12" x14ac:dyDescent="0.2">
      <c r="H7" s="3" t="s">
        <v>30</v>
      </c>
      <c r="I7" s="4" t="s">
        <v>31</v>
      </c>
      <c r="J7" s="4">
        <v>0.6</v>
      </c>
      <c r="K7" s="2" t="s">
        <v>32</v>
      </c>
    </row>
    <row r="8" spans="7:12" x14ac:dyDescent="0.2">
      <c r="H8" s="3" t="s">
        <v>33</v>
      </c>
      <c r="I8" s="4"/>
      <c r="J8" s="4">
        <v>330</v>
      </c>
      <c r="K8" s="2" t="s">
        <v>34</v>
      </c>
    </row>
    <row r="9" spans="7:12" x14ac:dyDescent="0.2">
      <c r="H9" s="3" t="s">
        <v>35</v>
      </c>
      <c r="I9" s="4" t="s">
        <v>9</v>
      </c>
      <c r="J9" s="17">
        <f>NORMSINV(92%)</f>
        <v>1.4050715603096329</v>
      </c>
      <c r="L9" s="7" t="str">
        <f ca="1">_xlfn.FORMULATEXT(J9)</f>
        <v>=DISTR.NORM.ESTAND.INV(92%)</v>
      </c>
    </row>
    <row r="10" spans="7:12" x14ac:dyDescent="0.2">
      <c r="H10" s="3" t="s">
        <v>38</v>
      </c>
      <c r="I10" s="4" t="s">
        <v>39</v>
      </c>
      <c r="J10" s="4">
        <f>J3*J8</f>
        <v>462000</v>
      </c>
      <c r="K10" s="2" t="s">
        <v>40</v>
      </c>
      <c r="L10" s="7" t="str">
        <f ca="1">_xlfn.FORMULATEXT(J10)</f>
        <v>=J3*J8</v>
      </c>
    </row>
    <row r="13" spans="7:12" x14ac:dyDescent="0.2">
      <c r="G13" s="10" t="s">
        <v>10</v>
      </c>
      <c r="H13" s="11" t="s">
        <v>36</v>
      </c>
      <c r="I13" s="18" t="s">
        <v>37</v>
      </c>
      <c r="J13" s="12">
        <f>ROUNDUP( SQRT(2*J10*J5/J7),0)</f>
        <v>7849</v>
      </c>
      <c r="K13" s="13" t="s">
        <v>41</v>
      </c>
      <c r="L13" s="7" t="str">
        <f ca="1">_xlfn.FORMULATEXT(J13)</f>
        <v>=REDONDEAR.MAS( RAIZ(2*J10*J5/J7);0)</v>
      </c>
    </row>
    <row r="15" spans="7:12" x14ac:dyDescent="0.2">
      <c r="G15" s="10" t="s">
        <v>12</v>
      </c>
      <c r="H15" s="11" t="s">
        <v>42</v>
      </c>
      <c r="I15" s="18" t="s">
        <v>15</v>
      </c>
      <c r="J15" s="15">
        <f>J3*J6 + J9*J4*SQRT(J6)</f>
        <v>6443.0429361857796</v>
      </c>
      <c r="K15" s="13" t="s">
        <v>18</v>
      </c>
      <c r="L15" s="7" t="str">
        <f t="shared" ref="L15:L16" ca="1" si="0">_xlfn.FORMULATEXT(J15)</f>
        <v>=J3*J6 + J9*J4*RAIZ(J6)</v>
      </c>
    </row>
    <row r="16" spans="7:12" x14ac:dyDescent="0.2">
      <c r="G16" s="10"/>
      <c r="H16" s="11" t="s">
        <v>13</v>
      </c>
      <c r="I16" s="18" t="s">
        <v>16</v>
      </c>
      <c r="J16" s="15">
        <f>J9*J4*SQRT(J6)</f>
        <v>843.04293618577969</v>
      </c>
      <c r="K16" s="13" t="s">
        <v>18</v>
      </c>
      <c r="L16" s="7" t="str">
        <f t="shared" ca="1" si="0"/>
        <v>=J9*J4*RAIZ(J6)</v>
      </c>
    </row>
    <row r="17" spans="7:12" x14ac:dyDescent="0.2">
      <c r="G17" s="10"/>
    </row>
    <row r="18" spans="7:12" x14ac:dyDescent="0.2">
      <c r="G18" s="10"/>
      <c r="H18" s="20" t="s">
        <v>43</v>
      </c>
      <c r="I18" s="21"/>
      <c r="J18" s="21"/>
      <c r="K18" s="22"/>
    </row>
    <row r="19" spans="7:12" x14ac:dyDescent="0.2">
      <c r="G19" s="10"/>
      <c r="H19" s="20" t="s">
        <v>44</v>
      </c>
      <c r="I19" s="21"/>
      <c r="J19" s="21"/>
      <c r="K19" s="22"/>
    </row>
    <row r="20" spans="7:12" x14ac:dyDescent="0.2">
      <c r="H20" s="16" t="s">
        <v>45</v>
      </c>
    </row>
    <row r="21" spans="7:12" x14ac:dyDescent="0.2">
      <c r="H21" s="16" t="s">
        <v>46</v>
      </c>
    </row>
    <row r="23" spans="7:12" x14ac:dyDescent="0.2">
      <c r="G23" s="10" t="s">
        <v>47</v>
      </c>
      <c r="H23" s="3" t="s">
        <v>48</v>
      </c>
      <c r="I23" s="23" t="s">
        <v>51</v>
      </c>
      <c r="J23" s="27">
        <f>(J13/2 + J16) * J7</f>
        <v>2860.5257617114676</v>
      </c>
      <c r="K23" s="2" t="s">
        <v>54</v>
      </c>
      <c r="L23" s="7" t="str">
        <f t="shared" ref="L23:L25" ca="1" si="1">_xlfn.FORMULATEXT(J23)</f>
        <v>=(J13/2 + J16) * J7</v>
      </c>
    </row>
    <row r="24" spans="7:12" x14ac:dyDescent="0.2">
      <c r="H24" s="3" t="s">
        <v>49</v>
      </c>
      <c r="I24" s="23" t="s">
        <v>52</v>
      </c>
      <c r="J24" s="27">
        <f>(J10/J13) * J5</f>
        <v>2354.4400560580966</v>
      </c>
      <c r="K24" s="2" t="s">
        <v>54</v>
      </c>
      <c r="L24" s="7" t="str">
        <f t="shared" ca="1" si="1"/>
        <v>=(J10/J13) * J5</v>
      </c>
    </row>
    <row r="25" spans="7:12" x14ac:dyDescent="0.2">
      <c r="H25" s="24" t="s">
        <v>50</v>
      </c>
      <c r="I25" s="25" t="s">
        <v>53</v>
      </c>
      <c r="J25" s="28">
        <f>SUM(J23:J24)</f>
        <v>5214.9658177695637</v>
      </c>
      <c r="K25" s="26" t="s">
        <v>54</v>
      </c>
      <c r="L25" s="7" t="str">
        <f t="shared" ca="1" si="1"/>
        <v>=SUMA(J23:J24)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E293-7C3E-4E7B-9D4F-D9888BA67408}">
  <dimension ref="F1:K17"/>
  <sheetViews>
    <sheetView zoomScale="140" zoomScaleNormal="140" workbookViewId="0">
      <selection activeCell="G5" sqref="G5:J5"/>
    </sheetView>
  </sheetViews>
  <sheetFormatPr baseColWidth="10" defaultRowHeight="15" x14ac:dyDescent="0.2"/>
  <cols>
    <col min="6" max="6" width="4.6640625" customWidth="1"/>
    <col min="7" max="7" width="22" customWidth="1"/>
    <col min="8" max="8" width="4.6640625" style="1" customWidth="1"/>
    <col min="9" max="9" width="7.6640625" style="1" customWidth="1"/>
    <col min="10" max="10" width="6.1640625" style="2" customWidth="1"/>
  </cols>
  <sheetData>
    <row r="1" spans="6:11" x14ac:dyDescent="0.2">
      <c r="G1" s="19" t="s">
        <v>57</v>
      </c>
    </row>
    <row r="3" spans="6:11" x14ac:dyDescent="0.2">
      <c r="G3" s="3" t="s">
        <v>23</v>
      </c>
      <c r="H3" s="4" t="s">
        <v>1</v>
      </c>
      <c r="I3" s="4">
        <v>50</v>
      </c>
      <c r="J3" s="2" t="s">
        <v>24</v>
      </c>
    </row>
    <row r="4" spans="6:11" x14ac:dyDescent="0.2">
      <c r="G4" s="3" t="s">
        <v>5</v>
      </c>
      <c r="H4" s="4" t="s">
        <v>6</v>
      </c>
      <c r="I4" s="4">
        <v>8</v>
      </c>
      <c r="J4" s="2" t="s">
        <v>7</v>
      </c>
    </row>
    <row r="5" spans="6:11" ht="16" x14ac:dyDescent="0.25">
      <c r="G5" s="3" t="s">
        <v>3</v>
      </c>
      <c r="H5" s="5" t="s">
        <v>56</v>
      </c>
      <c r="I5" s="4">
        <v>2</v>
      </c>
      <c r="J5" s="2" t="s">
        <v>7</v>
      </c>
    </row>
    <row r="6" spans="6:11" x14ac:dyDescent="0.2">
      <c r="G6" s="3" t="s">
        <v>8</v>
      </c>
      <c r="H6" s="4" t="s">
        <v>9</v>
      </c>
      <c r="I6" s="17">
        <f>_xlfn.NORM.S.INV(95%)</f>
        <v>1.6448536269514715</v>
      </c>
      <c r="K6" s="6" t="str">
        <f ca="1">_xlfn.FORMULATEXT(I6)</f>
        <v>=INV.NORM.ESTAND(95%)</v>
      </c>
    </row>
    <row r="9" spans="6:11" x14ac:dyDescent="0.2">
      <c r="F9" s="8" t="s">
        <v>10</v>
      </c>
      <c r="G9" s="11" t="s">
        <v>11</v>
      </c>
      <c r="H9" s="12" t="s">
        <v>15</v>
      </c>
      <c r="I9" s="15">
        <f>I3*I4 + I6*I5*I3</f>
        <v>564.48536269514716</v>
      </c>
      <c r="J9" s="13" t="s">
        <v>18</v>
      </c>
      <c r="K9" s="6" t="str">
        <f ca="1">_xlfn.FORMULATEXT(I9)</f>
        <v>=I3*I4 + I6*I5*I3</v>
      </c>
    </row>
    <row r="10" spans="6:11" x14ac:dyDescent="0.2">
      <c r="F10" s="8"/>
      <c r="G10" s="8"/>
      <c r="H10" s="10"/>
      <c r="I10" s="10"/>
      <c r="J10" s="9"/>
    </row>
    <row r="11" spans="6:11" x14ac:dyDescent="0.2">
      <c r="F11" s="8" t="s">
        <v>12</v>
      </c>
      <c r="G11" s="11" t="s">
        <v>13</v>
      </c>
      <c r="H11" s="12" t="s">
        <v>16</v>
      </c>
      <c r="I11" s="15">
        <f>I6*I5*I3</f>
        <v>164.48536269514716</v>
      </c>
      <c r="J11" s="13" t="s">
        <v>18</v>
      </c>
      <c r="K11" s="6" t="str">
        <f ca="1">_xlfn.FORMULATEXT(I11)</f>
        <v>=I6*I5*I3</v>
      </c>
    </row>
    <row r="14" spans="6:11" x14ac:dyDescent="0.2">
      <c r="G14" s="16" t="s">
        <v>58</v>
      </c>
    </row>
    <row r="15" spans="6:11" x14ac:dyDescent="0.2">
      <c r="G15" s="16" t="s">
        <v>59</v>
      </c>
    </row>
    <row r="16" spans="6:11" x14ac:dyDescent="0.2">
      <c r="G16" s="16" t="s">
        <v>60</v>
      </c>
    </row>
    <row r="17" spans="7:7" x14ac:dyDescent="0.2">
      <c r="G17" s="16" t="s">
        <v>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FBEE-E6A3-4F59-BE7D-15119114863F}">
  <dimension ref="E1:J27"/>
  <sheetViews>
    <sheetView zoomScale="140" zoomScaleNormal="140" workbookViewId="0">
      <selection activeCell="D23" sqref="D23"/>
    </sheetView>
  </sheetViews>
  <sheetFormatPr baseColWidth="10" defaultRowHeight="15" x14ac:dyDescent="0.2"/>
  <cols>
    <col min="5" max="5" width="8.6640625" style="1" customWidth="1"/>
    <col min="6" max="6" width="27.6640625" customWidth="1"/>
    <col min="7" max="7" width="5.33203125" style="1" customWidth="1"/>
    <col min="8" max="8" width="7.83203125" style="1" customWidth="1"/>
    <col min="9" max="9" width="7.6640625" style="2" customWidth="1"/>
    <col min="10" max="10" width="11" style="29"/>
  </cols>
  <sheetData>
    <row r="1" spans="5:10" x14ac:dyDescent="0.2">
      <c r="F1" s="19" t="s">
        <v>73</v>
      </c>
    </row>
    <row r="3" spans="5:10" x14ac:dyDescent="0.2">
      <c r="F3" s="3" t="s">
        <v>62</v>
      </c>
      <c r="G3" s="4"/>
      <c r="H3" s="4">
        <v>54</v>
      </c>
      <c r="I3" s="2" t="s">
        <v>63</v>
      </c>
    </row>
    <row r="4" spans="5:10" x14ac:dyDescent="0.2">
      <c r="F4" s="3" t="s">
        <v>64</v>
      </c>
      <c r="G4" s="4" t="s">
        <v>65</v>
      </c>
      <c r="H4" s="4">
        <v>60</v>
      </c>
      <c r="I4" s="2" t="s">
        <v>66</v>
      </c>
    </row>
    <row r="5" spans="5:10" x14ac:dyDescent="0.2">
      <c r="F5" s="3" t="s">
        <v>67</v>
      </c>
      <c r="G5" s="4" t="s">
        <v>27</v>
      </c>
      <c r="H5" s="4">
        <v>35</v>
      </c>
      <c r="I5" s="2" t="s">
        <v>28</v>
      </c>
    </row>
    <row r="6" spans="5:10" x14ac:dyDescent="0.2">
      <c r="F6" s="3" t="s">
        <v>68</v>
      </c>
      <c r="G6" s="4" t="s">
        <v>31</v>
      </c>
      <c r="H6" s="4">
        <f>22%*H4</f>
        <v>13.2</v>
      </c>
      <c r="I6" s="2" t="s">
        <v>69</v>
      </c>
      <c r="J6" s="7" t="str">
        <f ca="1">_xlfn.FORMULATEXT(H6)</f>
        <v>=22%*H4</v>
      </c>
    </row>
    <row r="7" spans="5:10" x14ac:dyDescent="0.2">
      <c r="F7" s="3" t="s">
        <v>5</v>
      </c>
      <c r="G7" s="4" t="s">
        <v>6</v>
      </c>
      <c r="H7" s="4">
        <v>6</v>
      </c>
      <c r="I7" s="2" t="s">
        <v>7</v>
      </c>
    </row>
    <row r="8" spans="5:10" ht="16" x14ac:dyDescent="0.25">
      <c r="F8" s="3" t="s">
        <v>3</v>
      </c>
      <c r="G8" s="5" t="s">
        <v>56</v>
      </c>
      <c r="H8" s="4">
        <v>2</v>
      </c>
      <c r="I8" s="2" t="s">
        <v>7</v>
      </c>
    </row>
    <row r="9" spans="5:10" x14ac:dyDescent="0.2">
      <c r="F9" s="3" t="s">
        <v>70</v>
      </c>
      <c r="G9" s="4" t="s">
        <v>9</v>
      </c>
      <c r="H9" s="17">
        <f>_xlfn.NORM.S.INV(90%)</f>
        <v>1.2815515655446006</v>
      </c>
      <c r="J9" s="7" t="str">
        <f ca="1">_xlfn.FORMULATEXT(H9)</f>
        <v>=INV.NORM.ESTAND(90%)</v>
      </c>
    </row>
    <row r="10" spans="5:10" x14ac:dyDescent="0.2">
      <c r="F10" s="3" t="s">
        <v>38</v>
      </c>
      <c r="G10" s="4" t="s">
        <v>39</v>
      </c>
      <c r="H10" s="4">
        <f>H3*52</f>
        <v>2808</v>
      </c>
      <c r="J10" s="7" t="str">
        <f ca="1">_xlfn.FORMULATEXT(H10)</f>
        <v>=H3*52</v>
      </c>
    </row>
    <row r="11" spans="5:10" x14ac:dyDescent="0.2">
      <c r="F11" s="3" t="s">
        <v>23</v>
      </c>
      <c r="G11" s="4" t="s">
        <v>1</v>
      </c>
      <c r="H11" s="4">
        <f>H3/6</f>
        <v>9</v>
      </c>
      <c r="J11" s="7" t="str">
        <f ca="1">_xlfn.FORMULATEXT(H11)</f>
        <v>=H3/6</v>
      </c>
    </row>
    <row r="13" spans="5:10" x14ac:dyDescent="0.2">
      <c r="E13" s="10" t="s">
        <v>10</v>
      </c>
      <c r="F13" s="11" t="s">
        <v>71</v>
      </c>
      <c r="G13" s="18" t="s">
        <v>37</v>
      </c>
      <c r="H13" s="12">
        <f>ROUNDUP(SQRT(2*H10*H5/H6),0)</f>
        <v>123</v>
      </c>
      <c r="I13" s="13" t="s">
        <v>41</v>
      </c>
      <c r="J13" s="7" t="str">
        <f ca="1">_xlfn.FORMULATEXT(H13)</f>
        <v>=REDONDEAR.MAS(RAIZ(2*H10*H5/H6);0)</v>
      </c>
    </row>
    <row r="14" spans="5:10" x14ac:dyDescent="0.2">
      <c r="E14" s="10"/>
    </row>
    <row r="15" spans="5:10" x14ac:dyDescent="0.2">
      <c r="E15" s="10" t="s">
        <v>12</v>
      </c>
      <c r="F15" s="11" t="s">
        <v>42</v>
      </c>
      <c r="G15" s="18" t="s">
        <v>15</v>
      </c>
      <c r="H15" s="15">
        <f>H11*H7 + H9*H8*H11</f>
        <v>77.067928179802806</v>
      </c>
      <c r="I15" s="13" t="s">
        <v>18</v>
      </c>
      <c r="J15" s="7" t="str">
        <f ca="1">_xlfn.FORMULATEXT(H15)</f>
        <v>=H11*H7 + H9*H8*H11</v>
      </c>
    </row>
    <row r="16" spans="5:10" x14ac:dyDescent="0.2">
      <c r="E16" s="10"/>
      <c r="F16" s="11" t="s">
        <v>72</v>
      </c>
      <c r="G16" s="18" t="s">
        <v>16</v>
      </c>
      <c r="H16" s="15">
        <f xml:space="preserve"> H9*H8*H11</f>
        <v>23.067928179802809</v>
      </c>
      <c r="I16" s="13" t="s">
        <v>18</v>
      </c>
      <c r="J16" s="7" t="str">
        <f ca="1">_xlfn.FORMULATEXT(H16)</f>
        <v>= H9*H8*H11</v>
      </c>
    </row>
    <row r="17" spans="5:10" x14ac:dyDescent="0.2">
      <c r="E17" s="10"/>
    </row>
    <row r="18" spans="5:10" x14ac:dyDescent="0.2">
      <c r="E18" s="10" t="s">
        <v>47</v>
      </c>
      <c r="F18" s="3" t="s">
        <v>74</v>
      </c>
      <c r="G18" s="23" t="s">
        <v>51</v>
      </c>
      <c r="H18" s="27">
        <f>(H13/2 + H16) * H6</f>
        <v>1116.296651973397</v>
      </c>
      <c r="I18" s="2" t="s">
        <v>54</v>
      </c>
      <c r="J18" s="7" t="str">
        <f t="shared" ref="J18:J20" ca="1" si="0">_xlfn.FORMULATEXT(H18)</f>
        <v>=(H13/2 + H16) * H6</v>
      </c>
    </row>
    <row r="19" spans="5:10" x14ac:dyDescent="0.2">
      <c r="E19"/>
      <c r="F19" s="3" t="s">
        <v>49</v>
      </c>
      <c r="G19" s="23" t="s">
        <v>52</v>
      </c>
      <c r="H19" s="27">
        <f>(H10/H13) * H5</f>
        <v>799.02439024390242</v>
      </c>
      <c r="I19" s="2" t="s">
        <v>54</v>
      </c>
      <c r="J19" s="7" t="str">
        <f t="shared" ca="1" si="0"/>
        <v>=(H10/H13) * H5</v>
      </c>
    </row>
    <row r="20" spans="5:10" x14ac:dyDescent="0.2">
      <c r="E20"/>
      <c r="F20" s="24" t="s">
        <v>50</v>
      </c>
      <c r="G20" s="25" t="s">
        <v>53</v>
      </c>
      <c r="H20" s="28">
        <f>SUM(H18:H19)</f>
        <v>1915.3210422172995</v>
      </c>
      <c r="I20" s="26" t="s">
        <v>54</v>
      </c>
      <c r="J20" s="7" t="str">
        <f t="shared" ca="1" si="0"/>
        <v>=SUMA(H18:H19)</v>
      </c>
    </row>
    <row r="23" spans="5:10" x14ac:dyDescent="0.2">
      <c r="F23" s="16" t="s">
        <v>75</v>
      </c>
    </row>
    <row r="24" spans="5:10" x14ac:dyDescent="0.2">
      <c r="F24" s="16" t="s">
        <v>76</v>
      </c>
    </row>
    <row r="25" spans="5:10" x14ac:dyDescent="0.2">
      <c r="F25" s="16" t="s">
        <v>78</v>
      </c>
    </row>
    <row r="26" spans="5:10" x14ac:dyDescent="0.2">
      <c r="F26" s="16" t="s">
        <v>79</v>
      </c>
    </row>
    <row r="27" spans="5:10" x14ac:dyDescent="0.2">
      <c r="F27" s="16" t="s">
        <v>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4D85-820A-4175-9298-9AB4BBED0D7B}">
  <dimension ref="F6:J16"/>
  <sheetViews>
    <sheetView zoomScale="160" zoomScaleNormal="160" workbookViewId="0">
      <selection activeCell="F9" sqref="F9:I9"/>
    </sheetView>
  </sheetViews>
  <sheetFormatPr baseColWidth="10" defaultRowHeight="15" x14ac:dyDescent="0.2"/>
  <cols>
    <col min="6" max="6" width="23.1640625" customWidth="1"/>
    <col min="7" max="7" width="5.33203125" style="1" customWidth="1"/>
    <col min="8" max="8" width="7.6640625" style="1" customWidth="1"/>
    <col min="9" max="9" width="11" style="2"/>
  </cols>
  <sheetData>
    <row r="6" spans="6:10" x14ac:dyDescent="0.2">
      <c r="F6" s="19" t="s">
        <v>82</v>
      </c>
    </row>
    <row r="8" spans="6:10" x14ac:dyDescent="0.2">
      <c r="F8" s="3" t="s">
        <v>23</v>
      </c>
      <c r="G8" s="4" t="s">
        <v>1</v>
      </c>
      <c r="H8" s="4">
        <v>1000</v>
      </c>
      <c r="I8" s="2" t="s">
        <v>24</v>
      </c>
    </row>
    <row r="9" spans="6:10" ht="17" x14ac:dyDescent="0.3">
      <c r="F9" s="3" t="s">
        <v>3</v>
      </c>
      <c r="G9" s="5" t="s">
        <v>80</v>
      </c>
      <c r="H9" s="4">
        <v>100</v>
      </c>
      <c r="I9" s="2" t="s">
        <v>24</v>
      </c>
    </row>
    <row r="10" spans="6:10" x14ac:dyDescent="0.2">
      <c r="F10" s="3" t="s">
        <v>5</v>
      </c>
      <c r="G10" s="4" t="s">
        <v>6</v>
      </c>
      <c r="H10" s="4">
        <v>8</v>
      </c>
      <c r="I10" s="2" t="s">
        <v>7</v>
      </c>
    </row>
    <row r="11" spans="6:10" ht="17" x14ac:dyDescent="0.3">
      <c r="F11" s="3" t="s">
        <v>3</v>
      </c>
      <c r="G11" s="5" t="s">
        <v>81</v>
      </c>
      <c r="H11" s="4">
        <v>2</v>
      </c>
      <c r="I11" s="2" t="s">
        <v>7</v>
      </c>
    </row>
    <row r="12" spans="6:10" x14ac:dyDescent="0.2">
      <c r="F12" s="3" t="s">
        <v>8</v>
      </c>
      <c r="G12" s="4" t="s">
        <v>9</v>
      </c>
      <c r="H12" s="4">
        <f>NORMSINV(0.95)</f>
        <v>1.6448536269514715</v>
      </c>
      <c r="J12" s="7" t="str">
        <f ca="1">_xlfn.FORMULATEXT(H12)</f>
        <v>=DISTR.NORM.ESTAND.INV(0.95)</v>
      </c>
    </row>
    <row r="15" spans="6:10" x14ac:dyDescent="0.2">
      <c r="F15" s="11" t="s">
        <v>11</v>
      </c>
      <c r="G15" s="12" t="s">
        <v>15</v>
      </c>
      <c r="H15" s="15">
        <f>H8*H10 + H12*SQRT(H10*H9^2+H8^2*H11^2)</f>
        <v>11322.441465655833</v>
      </c>
      <c r="I15" s="13" t="s">
        <v>18</v>
      </c>
      <c r="J15" s="7" t="str">
        <f t="shared" ref="J15:J16" ca="1" si="0">_xlfn.FORMULATEXT(H15)</f>
        <v>=H8*H10 + H12*RAIZ(H10*H9^2+H8^2*H11^2)</v>
      </c>
    </row>
    <row r="16" spans="6:10" x14ac:dyDescent="0.2">
      <c r="F16" s="11" t="s">
        <v>13</v>
      </c>
      <c r="G16" s="12" t="s">
        <v>16</v>
      </c>
      <c r="H16" s="15">
        <f>H12*SQRT(H10*H9^2+H8^2*H11^2)</f>
        <v>3322.4414656558324</v>
      </c>
      <c r="I16" s="13" t="s">
        <v>18</v>
      </c>
      <c r="J16" s="7" t="str">
        <f t="shared" ca="1" si="0"/>
        <v>=H12*RAIZ(H10*H9^2+H8^2*H11^2)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B8ED-B65C-4737-84CE-828D80EBA27F}">
  <dimension ref="F2:K29"/>
  <sheetViews>
    <sheetView zoomScale="140" zoomScaleNormal="140" workbookViewId="0">
      <selection activeCell="D20" sqref="D20"/>
    </sheetView>
  </sheetViews>
  <sheetFormatPr baseColWidth="10" defaultRowHeight="15" x14ac:dyDescent="0.2"/>
  <cols>
    <col min="6" max="6" width="6.6640625" style="10" customWidth="1"/>
    <col min="7" max="7" width="27.1640625" customWidth="1"/>
    <col min="8" max="8" width="6.1640625" style="1" customWidth="1"/>
    <col min="9" max="9" width="7.6640625" style="1" customWidth="1"/>
    <col min="10" max="10" width="6.6640625" style="2" customWidth="1"/>
  </cols>
  <sheetData>
    <row r="2" spans="6:11" x14ac:dyDescent="0.2">
      <c r="G2" s="19" t="s">
        <v>83</v>
      </c>
    </row>
    <row r="4" spans="6:11" x14ac:dyDescent="0.2">
      <c r="G4" s="3" t="s">
        <v>23</v>
      </c>
      <c r="H4" s="4" t="s">
        <v>1</v>
      </c>
      <c r="I4" s="4">
        <v>75</v>
      </c>
      <c r="J4" s="2" t="s">
        <v>24</v>
      </c>
    </row>
    <row r="5" spans="6:11" ht="17.25" customHeight="1" x14ac:dyDescent="0.3">
      <c r="G5" s="3" t="s">
        <v>3</v>
      </c>
      <c r="H5" s="5" t="s">
        <v>80</v>
      </c>
      <c r="I5" s="4">
        <v>8</v>
      </c>
      <c r="J5" s="2" t="s">
        <v>24</v>
      </c>
    </row>
    <row r="6" spans="6:11" x14ac:dyDescent="0.2">
      <c r="G6" s="3" t="s">
        <v>33</v>
      </c>
      <c r="H6" s="4"/>
      <c r="I6" s="4">
        <f>20*12</f>
        <v>240</v>
      </c>
      <c r="J6" s="2" t="s">
        <v>34</v>
      </c>
    </row>
    <row r="7" spans="6:11" x14ac:dyDescent="0.2">
      <c r="G7" s="3" t="s">
        <v>84</v>
      </c>
      <c r="H7" s="4" t="s">
        <v>27</v>
      </c>
      <c r="I7" s="4">
        <v>50</v>
      </c>
      <c r="J7" s="2" t="s">
        <v>28</v>
      </c>
    </row>
    <row r="8" spans="6:11" x14ac:dyDescent="0.2">
      <c r="G8" s="3" t="s">
        <v>29</v>
      </c>
      <c r="H8" s="4" t="s">
        <v>6</v>
      </c>
      <c r="I8" s="4">
        <v>5</v>
      </c>
      <c r="J8" s="2" t="s">
        <v>7</v>
      </c>
    </row>
    <row r="9" spans="6:11" ht="18.75" customHeight="1" x14ac:dyDescent="0.3">
      <c r="G9" s="3" t="s">
        <v>3</v>
      </c>
      <c r="H9" s="5" t="s">
        <v>81</v>
      </c>
      <c r="I9" s="4">
        <v>2</v>
      </c>
      <c r="J9" s="2" t="s">
        <v>7</v>
      </c>
    </row>
    <row r="10" spans="6:11" x14ac:dyDescent="0.2">
      <c r="G10" s="3" t="s">
        <v>85</v>
      </c>
      <c r="H10" s="4" t="s">
        <v>31</v>
      </c>
      <c r="I10" s="4">
        <f>0.15*I6</f>
        <v>36</v>
      </c>
      <c r="J10" s="2" t="s">
        <v>69</v>
      </c>
      <c r="K10" s="6" t="str">
        <f ca="1">_xlfn.FORMULATEXT(I10)</f>
        <v>=0.15*I6</v>
      </c>
    </row>
    <row r="11" spans="6:11" x14ac:dyDescent="0.2">
      <c r="G11" s="3" t="s">
        <v>86</v>
      </c>
      <c r="H11" s="4" t="s">
        <v>9</v>
      </c>
      <c r="I11" s="4">
        <f>_xlfn.NORM.S.INV(0.95)</f>
        <v>1.6448536269514715</v>
      </c>
      <c r="K11" s="6" t="str">
        <f ca="1">_xlfn.FORMULATEXT(I11)</f>
        <v>=INV.NORM.ESTAND(0.95)</v>
      </c>
    </row>
    <row r="12" spans="6:11" x14ac:dyDescent="0.2">
      <c r="G12" s="3" t="s">
        <v>38</v>
      </c>
      <c r="H12" s="4" t="s">
        <v>39</v>
      </c>
      <c r="I12" s="4">
        <f>I4*I6</f>
        <v>18000</v>
      </c>
      <c r="J12" s="2" t="s">
        <v>40</v>
      </c>
      <c r="K12" s="6" t="str">
        <f ca="1">_xlfn.FORMULATEXT(I12)</f>
        <v>=I4*I6</v>
      </c>
    </row>
    <row r="15" spans="6:11" x14ac:dyDescent="0.2">
      <c r="F15" s="10" t="s">
        <v>10</v>
      </c>
      <c r="G15" s="11" t="s">
        <v>36</v>
      </c>
      <c r="H15" s="18" t="s">
        <v>37</v>
      </c>
      <c r="I15" s="12">
        <f>ROUNDUP(SQRT(2*I12*I7/I10),0)</f>
        <v>224</v>
      </c>
      <c r="J15" s="13" t="s">
        <v>41</v>
      </c>
      <c r="K15" s="6" t="str">
        <f ca="1">_xlfn.FORMULATEXT(I15)</f>
        <v>=REDONDEAR.MAS(RAIZ(2*I12*I7/I10);0)</v>
      </c>
    </row>
    <row r="17" spans="6:11" x14ac:dyDescent="0.2">
      <c r="F17" s="10" t="s">
        <v>12</v>
      </c>
      <c r="G17" s="11" t="s">
        <v>87</v>
      </c>
      <c r="H17" s="18" t="s">
        <v>15</v>
      </c>
      <c r="I17" s="15">
        <f>I4*I8 + I11*SQRT(I8*I5^2+I4^2*I9^2)</f>
        <v>623.47636028897648</v>
      </c>
      <c r="J17" s="13" t="s">
        <v>18</v>
      </c>
      <c r="K17" s="6" t="str">
        <f ca="1">_xlfn.FORMULATEXT(I17)</f>
        <v>=I4*I8 + I11*RAIZ(I8*I5^2+I4^2*I9^2)</v>
      </c>
    </row>
    <row r="18" spans="6:11" x14ac:dyDescent="0.2">
      <c r="G18" s="11" t="s">
        <v>13</v>
      </c>
      <c r="H18" s="18" t="s">
        <v>16</v>
      </c>
      <c r="I18" s="15">
        <f xml:space="preserve"> I11*SQRT(I8*I5^2+I4^2*I9^2)</f>
        <v>248.47636028897651</v>
      </c>
      <c r="J18" s="13" t="s">
        <v>18</v>
      </c>
      <c r="K18" s="6" t="str">
        <f ca="1">_xlfn.FORMULATEXT(I18)</f>
        <v>= I11*RAIZ(I8*I5^2+I4^2*I9^2)</v>
      </c>
    </row>
    <row r="20" spans="6:11" x14ac:dyDescent="0.2">
      <c r="F20" s="10" t="s">
        <v>47</v>
      </c>
      <c r="G20" s="3" t="s">
        <v>74</v>
      </c>
      <c r="H20" s="23" t="s">
        <v>51</v>
      </c>
      <c r="I20" s="27">
        <f>(I15/2+I18) * I10</f>
        <v>12977.148970403154</v>
      </c>
      <c r="J20" s="2" t="s">
        <v>54</v>
      </c>
      <c r="K20" s="6" t="str">
        <f t="shared" ref="K20:K22" ca="1" si="0">_xlfn.FORMULATEXT(I20)</f>
        <v>=(I15/2+I18) * I10</v>
      </c>
    </row>
    <row r="21" spans="6:11" x14ac:dyDescent="0.2">
      <c r="G21" s="3" t="s">
        <v>49</v>
      </c>
      <c r="H21" s="23" t="s">
        <v>52</v>
      </c>
      <c r="I21" s="27">
        <f>(I12/I15) * I7</f>
        <v>4017.8571428571431</v>
      </c>
      <c r="J21" s="2" t="s">
        <v>54</v>
      </c>
      <c r="K21" s="6" t="str">
        <f t="shared" ca="1" si="0"/>
        <v>=(I12/I15) * I7</v>
      </c>
    </row>
    <row r="22" spans="6:11" x14ac:dyDescent="0.2">
      <c r="G22" s="11" t="s">
        <v>50</v>
      </c>
      <c r="H22" s="18" t="s">
        <v>53</v>
      </c>
      <c r="I22" s="15">
        <f>SUM(I20:I21)</f>
        <v>16995.006113260297</v>
      </c>
      <c r="J22" s="26" t="s">
        <v>54</v>
      </c>
      <c r="K22" s="6" t="str">
        <f t="shared" ca="1" si="0"/>
        <v>=SUMA(I20:I21)</v>
      </c>
    </row>
    <row r="25" spans="6:11" x14ac:dyDescent="0.2">
      <c r="G25" s="16" t="s">
        <v>88</v>
      </c>
    </row>
    <row r="26" spans="6:11" x14ac:dyDescent="0.2">
      <c r="G26" s="16" t="s">
        <v>89</v>
      </c>
    </row>
    <row r="27" spans="6:11" x14ac:dyDescent="0.2">
      <c r="G27" s="16" t="s">
        <v>90</v>
      </c>
    </row>
    <row r="28" spans="6:11" x14ac:dyDescent="0.2">
      <c r="G28" s="16" t="s">
        <v>91</v>
      </c>
    </row>
    <row r="29" spans="6:11" x14ac:dyDescent="0.2">
      <c r="G29" s="16" t="s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 BB</dc:creator>
  <cp:lastModifiedBy>Nelson Cumpa</cp:lastModifiedBy>
  <dcterms:created xsi:type="dcterms:W3CDTF">2024-03-16T03:31:38Z</dcterms:created>
  <dcterms:modified xsi:type="dcterms:W3CDTF">2026-01-07T15:40:13Z</dcterms:modified>
</cp:coreProperties>
</file>